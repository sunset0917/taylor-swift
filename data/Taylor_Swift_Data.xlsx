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H\Taylor Swift - Music Analysis\"/>
    </mc:Choice>
  </mc:AlternateContent>
  <xr:revisionPtr revIDLastSave="0" documentId="13_ncr:1_{57703D4F-3D6C-4C4D-A381-BA59A17FF068}" xr6:coauthVersionLast="41" xr6:coauthVersionMax="47" xr10:uidLastSave="{00000000-0000-0000-0000-000000000000}"/>
  <bookViews>
    <workbookView xWindow="-108" yWindow="-108" windowWidth="23256" windowHeight="12456" tabRatio="583" xr2:uid="{80FB59E1-14F6-B54F-AF51-257149393711}"/>
  </bookViews>
  <sheets>
    <sheet name="genius_data" sheetId="1" r:id="rId1"/>
  </sheets>
  <definedNames>
    <definedName name="taylor_swift_genius_data" localSheetId="0">genius_data!$A$1:$F$248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2" i="1" l="1"/>
  <c r="E251" i="1"/>
  <c r="E250" i="1"/>
  <c r="E249" i="1"/>
  <c r="E182" i="1" l="1"/>
  <c r="E244" i="1" l="1"/>
  <c r="E245" i="1"/>
  <c r="E246" i="1"/>
  <c r="E247" i="1"/>
  <c r="E248" i="1"/>
  <c r="E237" i="1"/>
  <c r="E238" i="1"/>
  <c r="E239" i="1"/>
  <c r="E240" i="1"/>
  <c r="E241" i="1"/>
  <c r="E242" i="1"/>
  <c r="E243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1" i="1"/>
  <c r="E212" i="1"/>
  <c r="E209" i="1"/>
  <c r="E210" i="1"/>
  <c r="E208" i="1"/>
  <c r="E207" i="1"/>
  <c r="E206" i="1"/>
  <c r="E202" i="1"/>
  <c r="E203" i="1"/>
  <c r="E204" i="1"/>
  <c r="E205" i="1"/>
  <c r="E201" i="1"/>
  <c r="E200" i="1"/>
  <c r="E199" i="1"/>
  <c r="E198" i="1"/>
  <c r="E197" i="1"/>
  <c r="E196" i="1"/>
  <c r="E195" i="1"/>
  <c r="E189" i="1"/>
  <c r="E188" i="1"/>
  <c r="E185" i="1"/>
  <c r="E192" i="1"/>
  <c r="E187" i="1"/>
  <c r="E191" i="1"/>
  <c r="E194" i="1"/>
  <c r="E190" i="1"/>
  <c r="E193" i="1"/>
  <c r="E186" i="1"/>
  <c r="E184" i="1"/>
  <c r="E183" i="1"/>
  <c r="E181" i="1"/>
  <c r="E167" i="1"/>
  <c r="E166" i="1"/>
  <c r="E172" i="1"/>
  <c r="E174" i="1"/>
  <c r="E175" i="1"/>
  <c r="E180" i="1"/>
  <c r="E178" i="1"/>
  <c r="E169" i="1"/>
  <c r="E173" i="1"/>
  <c r="E177" i="1"/>
  <c r="E176" i="1"/>
  <c r="E170" i="1"/>
  <c r="E171" i="1"/>
  <c r="E179" i="1"/>
  <c r="E16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39" i="1"/>
  <c r="E137" i="1"/>
  <c r="E131" i="1"/>
  <c r="E146" i="1"/>
  <c r="E142" i="1"/>
  <c r="E143" i="1"/>
  <c r="E144" i="1"/>
  <c r="E133" i="1"/>
  <c r="E145" i="1"/>
  <c r="E138" i="1"/>
  <c r="E134" i="1"/>
  <c r="E135" i="1"/>
  <c r="E132" i="1"/>
  <c r="E148" i="1"/>
  <c r="E141" i="1"/>
  <c r="E136" i="1"/>
  <c r="E147" i="1"/>
  <c r="E140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67" i="1"/>
  <c r="E66" i="1"/>
  <c r="E65" i="1"/>
  <c r="E64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8" i="1"/>
  <c r="E27" i="1"/>
  <c r="E26" i="1"/>
  <c r="E25" i="1"/>
  <c r="E24" i="1"/>
  <c r="E22" i="1"/>
  <c r="E23" i="1"/>
  <c r="E21" i="1"/>
  <c r="E20" i="1"/>
  <c r="E19" i="1"/>
  <c r="E18" i="1"/>
  <c r="E17" i="1"/>
  <c r="E16" i="1"/>
  <c r="E7" i="1"/>
  <c r="E6" i="1"/>
  <c r="E9" i="1"/>
  <c r="E8" i="1"/>
  <c r="E12" i="1"/>
  <c r="E14" i="1"/>
  <c r="E13" i="1"/>
  <c r="E15" i="1"/>
  <c r="E3" i="1"/>
  <c r="E2" i="1"/>
  <c r="E10" i="1"/>
  <c r="E5" i="1"/>
  <c r="E11" i="1"/>
  <c r="E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9D824F-41A4-8F44-9F12-8AEED9F7C146}" name="taylor_swift_genius_data" type="6" refreshedVersion="8" background="1" saveData="1">
    <textPr sourceFile="/Users/alice/Desktop/taylor_swift_data/Taylor_Swift_Genius/taylor_swift_genius_data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<sst xmlns="http://schemas.openxmlformats.org/spreadsheetml/2006/main" count="756" uniqueCount="264">
  <si>
    <t>Album</t>
  </si>
  <si>
    <t>Song Name</t>
  </si>
  <si>
    <t>Taylor Swift</t>
  </si>
  <si>
    <t>Mary's Song (Oh My My My)</t>
  </si>
  <si>
    <t>A Perfectly Good Heart</t>
  </si>
  <si>
    <t>Tim McGraw</t>
  </si>
  <si>
    <t>Teardrops On My Guitar</t>
  </si>
  <si>
    <t>Cold as You</t>
  </si>
  <si>
    <t>The Outside</t>
  </si>
  <si>
    <t>Should've Said No</t>
  </si>
  <si>
    <t>A Place In This World</t>
  </si>
  <si>
    <t>Our Song</t>
  </si>
  <si>
    <t>Picture to Burn</t>
  </si>
  <si>
    <t>Stay Beautiful</t>
  </si>
  <si>
    <t>Invisible</t>
  </si>
  <si>
    <t>Tied Together with a Smile</t>
  </si>
  <si>
    <t>I'm Only Me When I'm With You</t>
  </si>
  <si>
    <t>Fearless</t>
  </si>
  <si>
    <t>Fifteen</t>
  </si>
  <si>
    <t>Change</t>
  </si>
  <si>
    <t>The Best Day</t>
  </si>
  <si>
    <t>You're Not Sorry</t>
  </si>
  <si>
    <t>The Way I Loved You</t>
  </si>
  <si>
    <t>Hey Stephen</t>
  </si>
  <si>
    <t>Forever &amp; Always</t>
  </si>
  <si>
    <t>Tell Me Why</t>
  </si>
  <si>
    <t>White Horse</t>
  </si>
  <si>
    <t>Breathe</t>
  </si>
  <si>
    <t>Love Story</t>
  </si>
  <si>
    <t>You Belong With Me</t>
  </si>
  <si>
    <t>Speak Now</t>
  </si>
  <si>
    <t>Mine</t>
  </si>
  <si>
    <t>Back to December</t>
  </si>
  <si>
    <t>Dear John</t>
  </si>
  <si>
    <t>Better Than Revenge</t>
  </si>
  <si>
    <t>Sparks Fly</t>
  </si>
  <si>
    <t>Long Live</t>
  </si>
  <si>
    <t>Never Grow Up</t>
  </si>
  <si>
    <t>The Story Of Us</t>
  </si>
  <si>
    <t>Last Kiss</t>
  </si>
  <si>
    <t>Enchanted</t>
  </si>
  <si>
    <t>Mean</t>
  </si>
  <si>
    <t>Haunted</t>
  </si>
  <si>
    <t>Innocent</t>
  </si>
  <si>
    <t>Red</t>
  </si>
  <si>
    <t>The Lucky One</t>
  </si>
  <si>
    <t>We Are Never Ever Getting Back Together</t>
  </si>
  <si>
    <t>Treacherous</t>
  </si>
  <si>
    <t>I Almost Do</t>
  </si>
  <si>
    <t>Everything Has Changed</t>
  </si>
  <si>
    <t>Begin Again</t>
  </si>
  <si>
    <t>The Last Time</t>
  </si>
  <si>
    <t>Starlight</t>
  </si>
  <si>
    <t>All Too Well</t>
  </si>
  <si>
    <t>Stay Stay Stay</t>
  </si>
  <si>
    <t>Sad Beautiful Tragic</t>
  </si>
  <si>
    <t>Holy Ground</t>
  </si>
  <si>
    <t>How You Get The Girl</t>
  </si>
  <si>
    <t>This Love</t>
  </si>
  <si>
    <t>I Know Places</t>
  </si>
  <si>
    <t>Wildest Dreams</t>
  </si>
  <si>
    <t>Shake It Off</t>
  </si>
  <si>
    <t>Blank Space</t>
  </si>
  <si>
    <t>Style</t>
  </si>
  <si>
    <t>Bad Blood</t>
  </si>
  <si>
    <t>Clean</t>
  </si>
  <si>
    <t>I Wish You Would</t>
  </si>
  <si>
    <t>Reputation</t>
  </si>
  <si>
    <t>Delicate</t>
  </si>
  <si>
    <t>Getaway Car</t>
  </si>
  <si>
    <t>Don't Blame Me</t>
  </si>
  <si>
    <t>End Game</t>
  </si>
  <si>
    <t>Dancing with Our Hands Tied</t>
  </si>
  <si>
    <t>King Of My Heart</t>
  </si>
  <si>
    <t>New Year's Day</t>
  </si>
  <si>
    <t>Gorgeous</t>
  </si>
  <si>
    <t>Call It What You Want</t>
  </si>
  <si>
    <t>Dress</t>
  </si>
  <si>
    <t>Look What You Made Me Do</t>
  </si>
  <si>
    <t>So It Goes...</t>
  </si>
  <si>
    <t>I Did Something Bad</t>
  </si>
  <si>
    <t>Lover</t>
  </si>
  <si>
    <t>It's Nice to Have a Friend</t>
  </si>
  <si>
    <t>I Think He Knows</t>
  </si>
  <si>
    <t>London Boy</t>
  </si>
  <si>
    <t>Paper Rings</t>
  </si>
  <si>
    <t>Miss Americana &amp; The Heartbreak Prince</t>
  </si>
  <si>
    <t>False God</t>
  </si>
  <si>
    <t>Cornelia Street</t>
  </si>
  <si>
    <t>Afterglow</t>
  </si>
  <si>
    <t>I Forgot That You Existed</t>
  </si>
  <si>
    <t>The Man</t>
  </si>
  <si>
    <t>Daylight</t>
  </si>
  <si>
    <t>Death by a Thousand Cuts</t>
  </si>
  <si>
    <t>You Need To Calm Down</t>
  </si>
  <si>
    <t>Cruel Summer</t>
  </si>
  <si>
    <t>The Archer</t>
  </si>
  <si>
    <t>folklore</t>
  </si>
  <si>
    <t>evermore</t>
  </si>
  <si>
    <t>Midnights</t>
  </si>
  <si>
    <t>Lavender Haze</t>
  </si>
  <si>
    <t>Maroon</t>
  </si>
  <si>
    <t>Labyrinth</t>
  </si>
  <si>
    <t>Anti Hero</t>
  </si>
  <si>
    <t>Vigilante Shit</t>
  </si>
  <si>
    <t>Sweet Nothing</t>
  </si>
  <si>
    <t>Karma</t>
  </si>
  <si>
    <t>You're On Your Own, Kid</t>
  </si>
  <si>
    <t>Question...?</t>
  </si>
  <si>
    <t>Bejeweled</t>
  </si>
  <si>
    <t>Midnight Rain</t>
  </si>
  <si>
    <t>Mastermind</t>
  </si>
  <si>
    <t>mad woman</t>
  </si>
  <si>
    <t>this is me trying</t>
  </si>
  <si>
    <t>epiphany</t>
  </si>
  <si>
    <t>invisible string</t>
  </si>
  <si>
    <t>mirrorball</t>
  </si>
  <si>
    <t>my tears ricochet</t>
  </si>
  <si>
    <t>peace</t>
  </si>
  <si>
    <t>seven</t>
  </si>
  <si>
    <t>the last great american dynasty</t>
  </si>
  <si>
    <t>cardigan</t>
  </si>
  <si>
    <t>hoax</t>
  </si>
  <si>
    <t>august</t>
  </si>
  <si>
    <t>illicit affairs</t>
  </si>
  <si>
    <t>the 1</t>
  </si>
  <si>
    <t>betty</t>
  </si>
  <si>
    <t>closure</t>
  </si>
  <si>
    <t>long story short</t>
  </si>
  <si>
    <t>willow</t>
  </si>
  <si>
    <t>dorothea</t>
  </si>
  <si>
    <t>tis the damn season</t>
  </si>
  <si>
    <t>gold rush</t>
  </si>
  <si>
    <t>marjorie</t>
  </si>
  <si>
    <t>happiness</t>
  </si>
  <si>
    <t>cowboy like me</t>
  </si>
  <si>
    <t>tolerate it</t>
  </si>
  <si>
    <t>champagne problems</t>
  </si>
  <si>
    <t>ivy</t>
  </si>
  <si>
    <t>This Is Why We Can't Have Nice Things</t>
  </si>
  <si>
    <t>Track Number</t>
  </si>
  <si>
    <t>Taylor's Version</t>
  </si>
  <si>
    <t>Duration (s)</t>
  </si>
  <si>
    <t>No</t>
  </si>
  <si>
    <t>Yes</t>
  </si>
  <si>
    <t>From The Vault</t>
  </si>
  <si>
    <t>Jump Then Fall</t>
  </si>
  <si>
    <t>Untouchable</t>
  </si>
  <si>
    <t>Forever &amp; Always (Piano Version)</t>
  </si>
  <si>
    <t>Come In With The Rain</t>
  </si>
  <si>
    <t>Superstar</t>
  </si>
  <si>
    <t>The Other Side of The Door</t>
  </si>
  <si>
    <t>Today Was A Fairytale</t>
  </si>
  <si>
    <t>You All Over Me</t>
  </si>
  <si>
    <t>Mr. Perfectly Fine</t>
  </si>
  <si>
    <t>We Were Happy</t>
  </si>
  <si>
    <t>That's When</t>
  </si>
  <si>
    <t>Don't You</t>
  </si>
  <si>
    <t>Bye Bye Baby</t>
  </si>
  <si>
    <t>Ours</t>
  </si>
  <si>
    <t>Superman</t>
  </si>
  <si>
    <t>Electric Touch</t>
  </si>
  <si>
    <t>When Emma Falls in Love</t>
  </si>
  <si>
    <t>I Can See You</t>
  </si>
  <si>
    <t>Castles Crumbling</t>
  </si>
  <si>
    <t>Foolish One</t>
  </si>
  <si>
    <t>Timeless</t>
  </si>
  <si>
    <t>State Of Grace</t>
  </si>
  <si>
    <t>I Knew You Were Trouble</t>
  </si>
  <si>
    <t>The Moment I Knew</t>
  </si>
  <si>
    <t>Come Back … Be Here</t>
  </si>
  <si>
    <t>Girl At Home</t>
  </si>
  <si>
    <t>State Of Grace (Acoustic Version)</t>
  </si>
  <si>
    <t>Ronan</t>
  </si>
  <si>
    <t>Better Man</t>
  </si>
  <si>
    <t>Nothing New</t>
  </si>
  <si>
    <t>Babe</t>
  </si>
  <si>
    <t>Message In A Bottle</t>
  </si>
  <si>
    <t>I Bet You Think About Me</t>
  </si>
  <si>
    <t>Forever Winter</t>
  </si>
  <si>
    <t>Run</t>
  </si>
  <si>
    <t>The Very First Night</t>
  </si>
  <si>
    <t>All Too Well (10 Minute Version)</t>
  </si>
  <si>
    <t>Welcome To New York</t>
  </si>
  <si>
    <t>Out Of the Woods</t>
  </si>
  <si>
    <t>All You Had To Do Was Stay</t>
  </si>
  <si>
    <t>Wonderland</t>
  </si>
  <si>
    <t>You Are In Love</t>
  </si>
  <si>
    <t>New Romantics</t>
  </si>
  <si>
    <t>"Slut!"</t>
  </si>
  <si>
    <t>Say Don't Go</t>
  </si>
  <si>
    <t>Now That We Don't Talk</t>
  </si>
  <si>
    <t>Suburban Legends</t>
  </si>
  <si>
    <t>Is It Over Now?</t>
  </si>
  <si>
    <t>Bad Blood (feat. Kendrick Lamar)</t>
  </si>
  <si>
    <t>…Ready For It?</t>
  </si>
  <si>
    <t>Soon You'll Get Better (feat. The Chicks)</t>
  </si>
  <si>
    <t>ME! (feat Brendon Urie of Panic! At The Disco)</t>
  </si>
  <si>
    <t>the lakes</t>
  </si>
  <si>
    <t>exile (feat. Bon Iver)</t>
  </si>
  <si>
    <t>no body, no crime (feat. HAIM)</t>
  </si>
  <si>
    <t>coney island (feat. The National)</t>
  </si>
  <si>
    <t>evermore (feat. Bon Iver)</t>
  </si>
  <si>
    <t>right where you left me</t>
  </si>
  <si>
    <t>it's time to go</t>
  </si>
  <si>
    <t>Snow On the Beach  (feat. Lana Del Rey)</t>
  </si>
  <si>
    <t>The Great War</t>
  </si>
  <si>
    <t>Bigger Than The Whole Sky</t>
  </si>
  <si>
    <t>Paris</t>
  </si>
  <si>
    <t>High Infidelity</t>
  </si>
  <si>
    <t>Glitch</t>
  </si>
  <si>
    <t>Would've, Could've, Should've</t>
  </si>
  <si>
    <t>Dear Reader</t>
  </si>
  <si>
    <t>Hits Different</t>
  </si>
  <si>
    <t>Snow On the Beach  (feat. More Lana Del Rey)</t>
  </si>
  <si>
    <t>Karma (feat. Ice Spice)</t>
  </si>
  <si>
    <t>The Tortured Poets Department</t>
  </si>
  <si>
    <t>Fortnight (feat. Post Malone)</t>
  </si>
  <si>
    <t>My Boy Only Breaks His Favorite Toys</t>
  </si>
  <si>
    <t>Down Bad</t>
  </si>
  <si>
    <t>So Long, Lond</t>
  </si>
  <si>
    <t>But Daddy I Love Him</t>
  </si>
  <si>
    <t>Fresh Out The Slammer</t>
  </si>
  <si>
    <t>Florida!!! (feat. Florence + The Machine)</t>
  </si>
  <si>
    <t>Guilty as Sin?</t>
  </si>
  <si>
    <t>Who's Afraid of Little Old Me?</t>
  </si>
  <si>
    <t>I Can Fix Him (No Really I Can)</t>
  </si>
  <si>
    <t>loml</t>
  </si>
  <si>
    <t>I Can Do it With a Broken Heart</t>
  </si>
  <si>
    <t>The Smallest Man Who Ever Lived</t>
  </si>
  <si>
    <t>The Alchemy</t>
  </si>
  <si>
    <t>Clara Bown</t>
  </si>
  <si>
    <t>The Black Dog</t>
  </si>
  <si>
    <t>imgonnagetyouback</t>
  </si>
  <si>
    <t>The Albatross</t>
  </si>
  <si>
    <t>Chloe or Sam or Sophia or Marcus</t>
  </si>
  <si>
    <t>How Did It End?</t>
  </si>
  <si>
    <t>So High School</t>
  </si>
  <si>
    <t>I Hate It Here</t>
  </si>
  <si>
    <t>thanK you aIMee</t>
  </si>
  <si>
    <t>I Look in People's Windows</t>
  </si>
  <si>
    <t>The Prophecy</t>
  </si>
  <si>
    <t>Casssandra</t>
  </si>
  <si>
    <t>Peter</t>
  </si>
  <si>
    <t>The Bolter</t>
  </si>
  <si>
    <t>Robin</t>
  </si>
  <si>
    <t>The Manuscript</t>
  </si>
  <si>
    <t>The Life of a Showgirl</t>
  </si>
  <si>
    <t>The Fate of Ophelia</t>
  </si>
  <si>
    <t>Elizabeth Taylor</t>
  </si>
  <si>
    <t>Opalite</t>
  </si>
  <si>
    <t>Father Figure</t>
  </si>
  <si>
    <t>Eldest Daughter</t>
  </si>
  <si>
    <t>Run The Friendship</t>
  </si>
  <si>
    <t>Actually Romantic</t>
  </si>
  <si>
    <t>Wi$h Li$t</t>
  </si>
  <si>
    <t>Wood</t>
  </si>
  <si>
    <t>CANCELLED!</t>
  </si>
  <si>
    <t>Honey</t>
  </si>
  <si>
    <t>The Life of a Showgirl (feat. Sabrina Carpenter)</t>
  </si>
  <si>
    <t>Patient Zero</t>
  </si>
  <si>
    <t>Cleveland!</t>
  </si>
  <si>
    <t>Pink Clouding</t>
  </si>
  <si>
    <t>Babylon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</si>
</sst>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ylor_swift_genius_data" connectionId="1" xr16:uid="{EEFE6C76-DEE1-2140-A079-0FFC5E2FD76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CBAE-17BA-F045-97D7-4AAADEAEEF38}">
  <dimension ref="A1:F252"/>
  <sheetViews>
    <sheetView tabSelected="1" topLeftCell="A235" zoomScaleNormal="100" workbookViewId="0">
      <selection activeCell="E252" sqref="A249:E252"/>
    </sheetView>
  </sheetViews>
  <sheetFormatPr baseColWidth="10" defaultRowHeight="15.6" x14ac:dyDescent="0.3"/>
  <cols>
    <col min="1" max="1" width="12.69921875" bestFit="1" customWidth="1"/>
    <col min="2" max="2" width="27.8984375" bestFit="1" customWidth="1"/>
    <col min="3" max="3" width="14.296875" bestFit="1" customWidth="1"/>
    <col min="4" max="4" width="36" bestFit="1" customWidth="1"/>
    <col min="5" max="5" width="8.8984375" bestFit="1" customWidth="1"/>
    <col min="6" max="6" width="13.796875" bestFit="1" customWidth="1"/>
  </cols>
  <sheetData>
    <row r="1" spans="1:6" x14ac:dyDescent="0.3">
      <c r="A1" s="1" t="s">
        <v>140</v>
      </c>
      <c r="B1" s="1" t="s">
        <v>0</v>
      </c>
      <c r="C1" s="1" t="s">
        <v>141</v>
      </c>
      <c r="D1" s="1" t="s">
        <v>1</v>
      </c>
      <c r="E1" s="1" t="s">
        <v>142</v>
      </c>
      <c r="F1" s="1" t="s">
        <v>145</v>
      </c>
    </row>
    <row r="2" spans="1:6" x14ac:dyDescent="0.3">
      <c r="A2">
        <v>10</v>
      </c>
      <c r="B2" t="s">
        <v>2</v>
      </c>
      <c r="C2" t="s">
        <v>143</v>
      </c>
      <c r="D2" t="s">
        <v>3</v>
      </c>
      <c r="E2">
        <f>3*60+33</f>
        <v>213</v>
      </c>
    </row>
    <row r="3" spans="1:6" x14ac:dyDescent="0.3">
      <c r="A3">
        <v>14</v>
      </c>
      <c r="B3" t="s">
        <v>2</v>
      </c>
      <c r="C3" t="s">
        <v>143</v>
      </c>
      <c r="D3" t="s">
        <v>4</v>
      </c>
      <c r="E3">
        <f>3*60+40</f>
        <v>220</v>
      </c>
    </row>
    <row r="4" spans="1:6" x14ac:dyDescent="0.3">
      <c r="A4">
        <v>1</v>
      </c>
      <c r="B4" t="s">
        <v>2</v>
      </c>
      <c r="C4" t="s">
        <v>143</v>
      </c>
      <c r="D4" t="s">
        <v>5</v>
      </c>
      <c r="E4">
        <f>3*60+52</f>
        <v>232</v>
      </c>
    </row>
    <row r="5" spans="1:6" x14ac:dyDescent="0.3">
      <c r="A5">
        <v>3</v>
      </c>
      <c r="B5" t="s">
        <v>2</v>
      </c>
      <c r="C5" t="s">
        <v>143</v>
      </c>
      <c r="D5" t="s">
        <v>6</v>
      </c>
      <c r="E5">
        <f>3*60+23</f>
        <v>203</v>
      </c>
    </row>
    <row r="6" spans="1:6" x14ac:dyDescent="0.3">
      <c r="A6">
        <v>5</v>
      </c>
      <c r="B6" t="s">
        <v>2</v>
      </c>
      <c r="C6" t="s">
        <v>143</v>
      </c>
      <c r="D6" t="s">
        <v>7</v>
      </c>
      <c r="E6">
        <f>3*60+59</f>
        <v>239</v>
      </c>
    </row>
    <row r="7" spans="1:6" x14ac:dyDescent="0.3">
      <c r="A7">
        <v>6</v>
      </c>
      <c r="B7" t="s">
        <v>2</v>
      </c>
      <c r="C7" t="s">
        <v>143</v>
      </c>
      <c r="D7" t="s">
        <v>8</v>
      </c>
      <c r="E7">
        <f>3*60+27</f>
        <v>207</v>
      </c>
    </row>
    <row r="8" spans="1:6" x14ac:dyDescent="0.3">
      <c r="A8">
        <v>9</v>
      </c>
      <c r="B8" t="s">
        <v>2</v>
      </c>
      <c r="C8" t="s">
        <v>143</v>
      </c>
      <c r="D8" t="s">
        <v>9</v>
      </c>
      <c r="E8">
        <f>4*60+2</f>
        <v>242</v>
      </c>
    </row>
    <row r="9" spans="1:6" x14ac:dyDescent="0.3">
      <c r="A9">
        <v>4</v>
      </c>
      <c r="B9" t="s">
        <v>2</v>
      </c>
      <c r="C9" t="s">
        <v>143</v>
      </c>
      <c r="D9" t="s">
        <v>10</v>
      </c>
      <c r="E9">
        <f>3*60+19</f>
        <v>199</v>
      </c>
    </row>
    <row r="10" spans="1:6" x14ac:dyDescent="0.3">
      <c r="A10">
        <v>11</v>
      </c>
      <c r="B10" t="s">
        <v>2</v>
      </c>
      <c r="C10" t="s">
        <v>143</v>
      </c>
      <c r="D10" t="s">
        <v>11</v>
      </c>
      <c r="E10">
        <f>3*60+19</f>
        <v>199</v>
      </c>
    </row>
    <row r="11" spans="1:6" x14ac:dyDescent="0.3">
      <c r="A11">
        <v>2</v>
      </c>
      <c r="B11" t="s">
        <v>2</v>
      </c>
      <c r="C11" t="s">
        <v>143</v>
      </c>
      <c r="D11" t="s">
        <v>12</v>
      </c>
      <c r="E11">
        <f>2*60+53</f>
        <v>173</v>
      </c>
    </row>
    <row r="12" spans="1:6" x14ac:dyDescent="0.3">
      <c r="A12">
        <v>8</v>
      </c>
      <c r="B12" t="s">
        <v>2</v>
      </c>
      <c r="C12" t="s">
        <v>143</v>
      </c>
      <c r="D12" t="s">
        <v>13</v>
      </c>
      <c r="E12">
        <f>3*60+56</f>
        <v>236</v>
      </c>
    </row>
    <row r="13" spans="1:6" x14ac:dyDescent="0.3">
      <c r="A13">
        <v>13</v>
      </c>
      <c r="B13" t="s">
        <v>2</v>
      </c>
      <c r="C13" t="s">
        <v>143</v>
      </c>
      <c r="D13" t="s">
        <v>14</v>
      </c>
      <c r="E13">
        <f>3*60+23</f>
        <v>203</v>
      </c>
    </row>
    <row r="14" spans="1:6" x14ac:dyDescent="0.3">
      <c r="A14">
        <v>7</v>
      </c>
      <c r="B14" t="s">
        <v>2</v>
      </c>
      <c r="C14" t="s">
        <v>143</v>
      </c>
      <c r="D14" t="s">
        <v>15</v>
      </c>
      <c r="E14">
        <f>4*60+8</f>
        <v>248</v>
      </c>
    </row>
    <row r="15" spans="1:6" x14ac:dyDescent="0.3">
      <c r="A15">
        <v>12</v>
      </c>
      <c r="B15" t="s">
        <v>2</v>
      </c>
      <c r="C15" t="s">
        <v>143</v>
      </c>
      <c r="D15" t="s">
        <v>16</v>
      </c>
      <c r="E15">
        <f>3*60+33</f>
        <v>213</v>
      </c>
    </row>
    <row r="16" spans="1:6" x14ac:dyDescent="0.3">
      <c r="A16">
        <v>1</v>
      </c>
      <c r="B16" t="s">
        <v>17</v>
      </c>
      <c r="C16" t="s">
        <v>144</v>
      </c>
      <c r="D16" t="s">
        <v>17</v>
      </c>
      <c r="E16">
        <f>4*60+1</f>
        <v>241</v>
      </c>
    </row>
    <row r="17" spans="1:5" x14ac:dyDescent="0.3">
      <c r="A17">
        <v>2</v>
      </c>
      <c r="B17" t="s">
        <v>17</v>
      </c>
      <c r="C17" t="s">
        <v>144</v>
      </c>
      <c r="D17" t="s">
        <v>18</v>
      </c>
      <c r="E17">
        <f>4*60+54</f>
        <v>294</v>
      </c>
    </row>
    <row r="18" spans="1:5" x14ac:dyDescent="0.3">
      <c r="A18">
        <v>3</v>
      </c>
      <c r="B18" t="s">
        <v>17</v>
      </c>
      <c r="C18" t="s">
        <v>144</v>
      </c>
      <c r="D18" t="s">
        <v>28</v>
      </c>
      <c r="E18">
        <f>3*60+55</f>
        <v>235</v>
      </c>
    </row>
    <row r="19" spans="1:5" x14ac:dyDescent="0.3">
      <c r="A19">
        <v>4</v>
      </c>
      <c r="B19" t="s">
        <v>17</v>
      </c>
      <c r="C19" t="s">
        <v>144</v>
      </c>
      <c r="D19" t="s">
        <v>23</v>
      </c>
      <c r="E19">
        <f>4*60+14</f>
        <v>254</v>
      </c>
    </row>
    <row r="20" spans="1:5" x14ac:dyDescent="0.3">
      <c r="A20">
        <v>5</v>
      </c>
      <c r="B20" t="s">
        <v>17</v>
      </c>
      <c r="C20" t="s">
        <v>144</v>
      </c>
      <c r="D20" t="s">
        <v>26</v>
      </c>
      <c r="E20">
        <f>3*60+54</f>
        <v>234</v>
      </c>
    </row>
    <row r="21" spans="1:5" x14ac:dyDescent="0.3">
      <c r="A21">
        <v>6</v>
      </c>
      <c r="B21" t="s">
        <v>17</v>
      </c>
      <c r="C21" t="s">
        <v>144</v>
      </c>
      <c r="D21" t="s">
        <v>29</v>
      </c>
      <c r="E21">
        <f>3*60+51</f>
        <v>231</v>
      </c>
    </row>
    <row r="22" spans="1:5" x14ac:dyDescent="0.3">
      <c r="A22">
        <v>7</v>
      </c>
      <c r="B22" t="s">
        <v>17</v>
      </c>
      <c r="C22" t="s">
        <v>144</v>
      </c>
      <c r="D22" t="s">
        <v>27</v>
      </c>
      <c r="E22">
        <f>4*60+23</f>
        <v>263</v>
      </c>
    </row>
    <row r="23" spans="1:5" x14ac:dyDescent="0.3">
      <c r="A23">
        <v>8</v>
      </c>
      <c r="B23" t="s">
        <v>17</v>
      </c>
      <c r="C23" t="s">
        <v>144</v>
      </c>
      <c r="D23" t="s">
        <v>25</v>
      </c>
      <c r="E23">
        <f>3*60+20</f>
        <v>200</v>
      </c>
    </row>
    <row r="24" spans="1:5" x14ac:dyDescent="0.3">
      <c r="A24">
        <v>9</v>
      </c>
      <c r="B24" t="s">
        <v>17</v>
      </c>
      <c r="C24" t="s">
        <v>144</v>
      </c>
      <c r="D24" t="s">
        <v>21</v>
      </c>
      <c r="E24">
        <f>4*60+21</f>
        <v>261</v>
      </c>
    </row>
    <row r="25" spans="1:5" x14ac:dyDescent="0.3">
      <c r="A25">
        <v>10</v>
      </c>
      <c r="B25" t="s">
        <v>17</v>
      </c>
      <c r="C25" t="s">
        <v>144</v>
      </c>
      <c r="D25" t="s">
        <v>22</v>
      </c>
      <c r="E25">
        <f>4*60+3</f>
        <v>243</v>
      </c>
    </row>
    <row r="26" spans="1:5" x14ac:dyDescent="0.3">
      <c r="A26">
        <v>11</v>
      </c>
      <c r="B26" t="s">
        <v>17</v>
      </c>
      <c r="C26" t="s">
        <v>144</v>
      </c>
      <c r="D26" t="s">
        <v>24</v>
      </c>
      <c r="E26">
        <f>3*60+45</f>
        <v>225</v>
      </c>
    </row>
    <row r="27" spans="1:5" x14ac:dyDescent="0.3">
      <c r="A27">
        <v>12</v>
      </c>
      <c r="B27" t="s">
        <v>17</v>
      </c>
      <c r="C27" t="s">
        <v>144</v>
      </c>
      <c r="D27" t="s">
        <v>20</v>
      </c>
      <c r="E27">
        <f>4*60+5</f>
        <v>245</v>
      </c>
    </row>
    <row r="28" spans="1:5" x14ac:dyDescent="0.3">
      <c r="A28">
        <v>13</v>
      </c>
      <c r="B28" t="s">
        <v>17</v>
      </c>
      <c r="C28" t="s">
        <v>144</v>
      </c>
      <c r="D28" t="s">
        <v>19</v>
      </c>
      <c r="E28">
        <f>4*60+39</f>
        <v>279</v>
      </c>
    </row>
    <row r="29" spans="1:5" x14ac:dyDescent="0.3">
      <c r="A29">
        <v>14</v>
      </c>
      <c r="B29" t="s">
        <v>17</v>
      </c>
      <c r="C29" t="s">
        <v>144</v>
      </c>
      <c r="D29" t="s">
        <v>146</v>
      </c>
      <c r="E29">
        <f>4*60+39</f>
        <v>279</v>
      </c>
    </row>
    <row r="30" spans="1:5" x14ac:dyDescent="0.3">
      <c r="A30">
        <v>15</v>
      </c>
      <c r="B30" t="s">
        <v>17</v>
      </c>
      <c r="C30" t="s">
        <v>144</v>
      </c>
      <c r="D30" t="s">
        <v>147</v>
      </c>
      <c r="E30">
        <f>5*60+12</f>
        <v>312</v>
      </c>
    </row>
    <row r="31" spans="1:5" x14ac:dyDescent="0.3">
      <c r="A31">
        <v>16</v>
      </c>
      <c r="B31" t="s">
        <v>17</v>
      </c>
      <c r="C31" t="s">
        <v>144</v>
      </c>
      <c r="D31" t="s">
        <v>148</v>
      </c>
      <c r="E31">
        <f>4*60+27</f>
        <v>267</v>
      </c>
    </row>
    <row r="32" spans="1:5" x14ac:dyDescent="0.3">
      <c r="A32">
        <v>17</v>
      </c>
      <c r="B32" t="s">
        <v>17</v>
      </c>
      <c r="C32" t="s">
        <v>144</v>
      </c>
      <c r="D32" t="s">
        <v>149</v>
      </c>
      <c r="E32">
        <f>3*60+57</f>
        <v>237</v>
      </c>
    </row>
    <row r="33" spans="1:6" x14ac:dyDescent="0.3">
      <c r="A33">
        <v>18</v>
      </c>
      <c r="B33" t="s">
        <v>17</v>
      </c>
      <c r="C33" t="s">
        <v>144</v>
      </c>
      <c r="D33" t="s">
        <v>150</v>
      </c>
      <c r="E33">
        <f>4*60+23</f>
        <v>263</v>
      </c>
    </row>
    <row r="34" spans="1:6" x14ac:dyDescent="0.3">
      <c r="A34">
        <v>19</v>
      </c>
      <c r="B34" t="s">
        <v>17</v>
      </c>
      <c r="C34" t="s">
        <v>144</v>
      </c>
      <c r="D34" t="s">
        <v>151</v>
      </c>
      <c r="E34">
        <f>3*60+58</f>
        <v>238</v>
      </c>
    </row>
    <row r="35" spans="1:6" x14ac:dyDescent="0.3">
      <c r="A35">
        <v>20</v>
      </c>
      <c r="B35" t="s">
        <v>17</v>
      </c>
      <c r="C35" t="s">
        <v>144</v>
      </c>
      <c r="D35" t="s">
        <v>152</v>
      </c>
      <c r="E35">
        <f>4*60+1</f>
        <v>241</v>
      </c>
    </row>
    <row r="36" spans="1:6" x14ac:dyDescent="0.3">
      <c r="A36">
        <v>21</v>
      </c>
      <c r="B36" t="s">
        <v>17</v>
      </c>
      <c r="C36" t="s">
        <v>144</v>
      </c>
      <c r="D36" t="s">
        <v>153</v>
      </c>
      <c r="E36">
        <f>3*60+40</f>
        <v>220</v>
      </c>
      <c r="F36" t="s">
        <v>144</v>
      </c>
    </row>
    <row r="37" spans="1:6" x14ac:dyDescent="0.3">
      <c r="A37">
        <v>22</v>
      </c>
      <c r="B37" t="s">
        <v>17</v>
      </c>
      <c r="C37" t="s">
        <v>144</v>
      </c>
      <c r="D37" t="s">
        <v>154</v>
      </c>
      <c r="E37">
        <f>4*60+37</f>
        <v>277</v>
      </c>
      <c r="F37" t="s">
        <v>144</v>
      </c>
    </row>
    <row r="38" spans="1:6" x14ac:dyDescent="0.3">
      <c r="A38">
        <v>23</v>
      </c>
      <c r="B38" t="s">
        <v>17</v>
      </c>
      <c r="C38" t="s">
        <v>144</v>
      </c>
      <c r="D38" t="s">
        <v>155</v>
      </c>
      <c r="E38">
        <f>4*60+4</f>
        <v>244</v>
      </c>
      <c r="F38" t="s">
        <v>144</v>
      </c>
    </row>
    <row r="39" spans="1:6" x14ac:dyDescent="0.3">
      <c r="A39">
        <v>24</v>
      </c>
      <c r="B39" t="s">
        <v>17</v>
      </c>
      <c r="C39" t="s">
        <v>144</v>
      </c>
      <c r="D39" t="s">
        <v>156</v>
      </c>
      <c r="E39">
        <f>3*60+9</f>
        <v>189</v>
      </c>
      <c r="F39" t="s">
        <v>144</v>
      </c>
    </row>
    <row r="40" spans="1:6" x14ac:dyDescent="0.3">
      <c r="A40">
        <v>25</v>
      </c>
      <c r="B40" t="s">
        <v>17</v>
      </c>
      <c r="C40" t="s">
        <v>144</v>
      </c>
      <c r="D40" t="s">
        <v>157</v>
      </c>
      <c r="E40">
        <f>3*60+28</f>
        <v>208</v>
      </c>
      <c r="F40" t="s">
        <v>144</v>
      </c>
    </row>
    <row r="41" spans="1:6" x14ac:dyDescent="0.3">
      <c r="A41">
        <v>26</v>
      </c>
      <c r="B41" t="s">
        <v>17</v>
      </c>
      <c r="C41" t="s">
        <v>144</v>
      </c>
      <c r="D41" t="s">
        <v>158</v>
      </c>
      <c r="E41">
        <f>4*60+2</f>
        <v>242</v>
      </c>
      <c r="F41" t="s">
        <v>144</v>
      </c>
    </row>
    <row r="42" spans="1:6" x14ac:dyDescent="0.3">
      <c r="A42">
        <v>1</v>
      </c>
      <c r="B42" t="s">
        <v>30</v>
      </c>
      <c r="C42" t="s">
        <v>144</v>
      </c>
      <c r="D42" t="s">
        <v>31</v>
      </c>
      <c r="E42">
        <f>3*60+51</f>
        <v>231</v>
      </c>
    </row>
    <row r="43" spans="1:6" x14ac:dyDescent="0.3">
      <c r="A43">
        <v>2</v>
      </c>
      <c r="B43" t="s">
        <v>30</v>
      </c>
      <c r="C43" t="s">
        <v>144</v>
      </c>
      <c r="D43" t="s">
        <v>35</v>
      </c>
      <c r="E43">
        <f>4*60+21</f>
        <v>261</v>
      </c>
    </row>
    <row r="44" spans="1:6" x14ac:dyDescent="0.3">
      <c r="A44">
        <v>3</v>
      </c>
      <c r="B44" t="s">
        <v>30</v>
      </c>
      <c r="C44" t="s">
        <v>144</v>
      </c>
      <c r="D44" t="s">
        <v>32</v>
      </c>
      <c r="E44">
        <f>4*60+54</f>
        <v>294</v>
      </c>
    </row>
    <row r="45" spans="1:6" x14ac:dyDescent="0.3">
      <c r="A45">
        <v>4</v>
      </c>
      <c r="B45" t="s">
        <v>30</v>
      </c>
      <c r="C45" t="s">
        <v>144</v>
      </c>
      <c r="D45" t="s">
        <v>30</v>
      </c>
      <c r="E45">
        <f>4*60+2</f>
        <v>242</v>
      </c>
    </row>
    <row r="46" spans="1:6" x14ac:dyDescent="0.3">
      <c r="A46">
        <v>5</v>
      </c>
      <c r="B46" t="s">
        <v>30</v>
      </c>
      <c r="C46" t="s">
        <v>144</v>
      </c>
      <c r="D46" t="s">
        <v>33</v>
      </c>
      <c r="E46">
        <f>6*60+45</f>
        <v>405</v>
      </c>
    </row>
    <row r="47" spans="1:6" x14ac:dyDescent="0.3">
      <c r="A47">
        <v>6</v>
      </c>
      <c r="B47" t="s">
        <v>30</v>
      </c>
      <c r="C47" t="s">
        <v>144</v>
      </c>
      <c r="D47" t="s">
        <v>41</v>
      </c>
      <c r="E47">
        <f>3*60+58</f>
        <v>238</v>
      </c>
    </row>
    <row r="48" spans="1:6" x14ac:dyDescent="0.3">
      <c r="A48">
        <v>7</v>
      </c>
      <c r="B48" t="s">
        <v>30</v>
      </c>
      <c r="C48" t="s">
        <v>144</v>
      </c>
      <c r="D48" t="s">
        <v>38</v>
      </c>
      <c r="E48">
        <f>4*60+27</f>
        <v>267</v>
      </c>
    </row>
    <row r="49" spans="1:5" x14ac:dyDescent="0.3">
      <c r="A49">
        <v>8</v>
      </c>
      <c r="B49" t="s">
        <v>30</v>
      </c>
      <c r="C49" t="s">
        <v>144</v>
      </c>
      <c r="D49" t="s">
        <v>37</v>
      </c>
      <c r="E49">
        <f>4*60+52</f>
        <v>292</v>
      </c>
    </row>
    <row r="50" spans="1:5" x14ac:dyDescent="0.3">
      <c r="A50">
        <v>9</v>
      </c>
      <c r="B50" t="s">
        <v>30</v>
      </c>
      <c r="C50" t="s">
        <v>144</v>
      </c>
      <c r="D50" t="s">
        <v>40</v>
      </c>
      <c r="E50">
        <f>5*60+53</f>
        <v>353</v>
      </c>
    </row>
    <row r="51" spans="1:5" x14ac:dyDescent="0.3">
      <c r="A51">
        <v>10</v>
      </c>
      <c r="B51" t="s">
        <v>30</v>
      </c>
      <c r="C51" t="s">
        <v>144</v>
      </c>
      <c r="D51" t="s">
        <v>34</v>
      </c>
      <c r="E51">
        <f>3*60+40</f>
        <v>220</v>
      </c>
    </row>
    <row r="52" spans="1:5" x14ac:dyDescent="0.3">
      <c r="A52">
        <v>11</v>
      </c>
      <c r="B52" t="s">
        <v>30</v>
      </c>
      <c r="C52" t="s">
        <v>144</v>
      </c>
      <c r="D52" t="s">
        <v>43</v>
      </c>
      <c r="E52">
        <f>5*60+1</f>
        <v>301</v>
      </c>
    </row>
    <row r="53" spans="1:5" x14ac:dyDescent="0.3">
      <c r="A53">
        <v>12</v>
      </c>
      <c r="B53" t="s">
        <v>30</v>
      </c>
      <c r="C53" t="s">
        <v>144</v>
      </c>
      <c r="D53" t="s">
        <v>42</v>
      </c>
      <c r="E53">
        <f>4*60+5</f>
        <v>245</v>
      </c>
    </row>
    <row r="54" spans="1:5" x14ac:dyDescent="0.3">
      <c r="A54">
        <v>13</v>
      </c>
      <c r="B54" t="s">
        <v>30</v>
      </c>
      <c r="C54" t="s">
        <v>144</v>
      </c>
      <c r="D54" t="s">
        <v>39</v>
      </c>
      <c r="E54">
        <f>6*60+9</f>
        <v>369</v>
      </c>
    </row>
    <row r="55" spans="1:5" x14ac:dyDescent="0.3">
      <c r="A55">
        <v>14</v>
      </c>
      <c r="B55" t="s">
        <v>30</v>
      </c>
      <c r="C55" t="s">
        <v>144</v>
      </c>
      <c r="D55" t="s">
        <v>36</v>
      </c>
      <c r="E55">
        <f>5*60+17</f>
        <v>317</v>
      </c>
    </row>
    <row r="56" spans="1:5" x14ac:dyDescent="0.3">
      <c r="A56">
        <v>15</v>
      </c>
      <c r="B56" t="s">
        <v>30</v>
      </c>
      <c r="C56" t="s">
        <v>144</v>
      </c>
      <c r="D56" t="s">
        <v>159</v>
      </c>
      <c r="E56">
        <f>3*60+55</f>
        <v>235</v>
      </c>
    </row>
    <row r="57" spans="1:5" x14ac:dyDescent="0.3">
      <c r="A57">
        <v>16</v>
      </c>
      <c r="B57" t="s">
        <v>30</v>
      </c>
      <c r="C57" t="s">
        <v>144</v>
      </c>
      <c r="D57" t="s">
        <v>160</v>
      </c>
      <c r="E57">
        <f>4*60+34</f>
        <v>274</v>
      </c>
    </row>
    <row r="58" spans="1:5" x14ac:dyDescent="0.3">
      <c r="A58">
        <v>17</v>
      </c>
      <c r="B58" t="s">
        <v>30</v>
      </c>
      <c r="C58" t="s">
        <v>144</v>
      </c>
      <c r="D58" t="s">
        <v>161</v>
      </c>
      <c r="E58">
        <f>4*60+26</f>
        <v>266</v>
      </c>
    </row>
    <row r="59" spans="1:5" x14ac:dyDescent="0.3">
      <c r="A59">
        <v>18</v>
      </c>
      <c r="B59" t="s">
        <v>30</v>
      </c>
      <c r="C59" t="s">
        <v>144</v>
      </c>
      <c r="D59" t="s">
        <v>162</v>
      </c>
      <c r="E59">
        <f>4*60+12</f>
        <v>252</v>
      </c>
    </row>
    <row r="60" spans="1:5" x14ac:dyDescent="0.3">
      <c r="A60">
        <v>19</v>
      </c>
      <c r="B60" t="s">
        <v>30</v>
      </c>
      <c r="C60" t="s">
        <v>144</v>
      </c>
      <c r="D60" t="s">
        <v>163</v>
      </c>
      <c r="E60">
        <f>4*60+33</f>
        <v>273</v>
      </c>
    </row>
    <row r="61" spans="1:5" x14ac:dyDescent="0.3">
      <c r="A61">
        <v>20</v>
      </c>
      <c r="B61" t="s">
        <v>30</v>
      </c>
      <c r="C61" t="s">
        <v>144</v>
      </c>
      <c r="D61" t="s">
        <v>164</v>
      </c>
      <c r="E61">
        <f>5*60+6</f>
        <v>306</v>
      </c>
    </row>
    <row r="62" spans="1:5" x14ac:dyDescent="0.3">
      <c r="A62">
        <v>21</v>
      </c>
      <c r="B62" t="s">
        <v>30</v>
      </c>
      <c r="C62" t="s">
        <v>144</v>
      </c>
      <c r="D62" t="s">
        <v>165</v>
      </c>
      <c r="E62">
        <f>5*60+11</f>
        <v>311</v>
      </c>
    </row>
    <row r="63" spans="1:5" x14ac:dyDescent="0.3">
      <c r="A63">
        <v>22</v>
      </c>
      <c r="B63" t="s">
        <v>30</v>
      </c>
      <c r="C63" t="s">
        <v>144</v>
      </c>
      <c r="D63" t="s">
        <v>166</v>
      </c>
      <c r="E63">
        <f>5*60+21</f>
        <v>321</v>
      </c>
    </row>
    <row r="64" spans="1:5" x14ac:dyDescent="0.3">
      <c r="A64">
        <v>1</v>
      </c>
      <c r="B64" t="s">
        <v>44</v>
      </c>
      <c r="C64" t="s">
        <v>144</v>
      </c>
      <c r="D64" t="s">
        <v>167</v>
      </c>
      <c r="E64">
        <f>4*60+55</f>
        <v>295</v>
      </c>
    </row>
    <row r="65" spans="1:5" x14ac:dyDescent="0.3">
      <c r="A65">
        <v>2</v>
      </c>
      <c r="B65" t="s">
        <v>44</v>
      </c>
      <c r="C65" t="s">
        <v>144</v>
      </c>
      <c r="D65" t="s">
        <v>44</v>
      </c>
      <c r="E65">
        <f>3*60+43</f>
        <v>223</v>
      </c>
    </row>
    <row r="66" spans="1:5" x14ac:dyDescent="0.3">
      <c r="A66">
        <v>3</v>
      </c>
      <c r="B66" t="s">
        <v>44</v>
      </c>
      <c r="C66" t="s">
        <v>144</v>
      </c>
      <c r="D66" t="s">
        <v>47</v>
      </c>
      <c r="E66">
        <f>4*60+2</f>
        <v>242</v>
      </c>
    </row>
    <row r="67" spans="1:5" x14ac:dyDescent="0.3">
      <c r="A67">
        <v>4</v>
      </c>
      <c r="B67" t="s">
        <v>44</v>
      </c>
      <c r="C67" t="s">
        <v>144</v>
      </c>
      <c r="D67" t="s">
        <v>168</v>
      </c>
      <c r="E67">
        <f>3*60+39</f>
        <v>219</v>
      </c>
    </row>
    <row r="68" spans="1:5" x14ac:dyDescent="0.3">
      <c r="A68">
        <v>5</v>
      </c>
      <c r="B68" t="s">
        <v>44</v>
      </c>
      <c r="C68" t="s">
        <v>144</v>
      </c>
      <c r="D68" t="s">
        <v>53</v>
      </c>
      <c r="E68">
        <f>5*60+29</f>
        <v>329</v>
      </c>
    </row>
    <row r="69" spans="1:5" x14ac:dyDescent="0.3">
      <c r="A69">
        <v>6</v>
      </c>
      <c r="B69" t="s">
        <v>44</v>
      </c>
      <c r="C69" t="s">
        <v>144</v>
      </c>
      <c r="D69">
        <v>22</v>
      </c>
      <c r="E69">
        <f>3*60+50</f>
        <v>230</v>
      </c>
    </row>
    <row r="70" spans="1:5" x14ac:dyDescent="0.3">
      <c r="A70">
        <v>7</v>
      </c>
      <c r="B70" t="s">
        <v>44</v>
      </c>
      <c r="C70" t="s">
        <v>144</v>
      </c>
      <c r="D70" t="s">
        <v>48</v>
      </c>
      <c r="E70">
        <f>4*60+4</f>
        <v>244</v>
      </c>
    </row>
    <row r="71" spans="1:5" x14ac:dyDescent="0.3">
      <c r="A71">
        <v>8</v>
      </c>
      <c r="B71" t="s">
        <v>44</v>
      </c>
      <c r="C71" t="s">
        <v>144</v>
      </c>
      <c r="D71" t="s">
        <v>46</v>
      </c>
      <c r="E71">
        <f>3*60+13</f>
        <v>193</v>
      </c>
    </row>
    <row r="72" spans="1:5" x14ac:dyDescent="0.3">
      <c r="A72">
        <v>9</v>
      </c>
      <c r="B72" t="s">
        <v>44</v>
      </c>
      <c r="C72" t="s">
        <v>144</v>
      </c>
      <c r="D72" t="s">
        <v>54</v>
      </c>
      <c r="E72">
        <f>3*60+25</f>
        <v>205</v>
      </c>
    </row>
    <row r="73" spans="1:5" x14ac:dyDescent="0.3">
      <c r="A73">
        <v>10</v>
      </c>
      <c r="B73" t="s">
        <v>44</v>
      </c>
      <c r="C73" t="s">
        <v>144</v>
      </c>
      <c r="D73" t="s">
        <v>51</v>
      </c>
      <c r="E73">
        <f>4*60+59</f>
        <v>299</v>
      </c>
    </row>
    <row r="74" spans="1:5" x14ac:dyDescent="0.3">
      <c r="A74">
        <v>11</v>
      </c>
      <c r="B74" t="s">
        <v>44</v>
      </c>
      <c r="C74" t="s">
        <v>144</v>
      </c>
      <c r="D74" t="s">
        <v>56</v>
      </c>
      <c r="E74">
        <f>3*60+22</f>
        <v>202</v>
      </c>
    </row>
    <row r="75" spans="1:5" x14ac:dyDescent="0.3">
      <c r="A75">
        <v>12</v>
      </c>
      <c r="B75" t="s">
        <v>44</v>
      </c>
      <c r="C75" t="s">
        <v>144</v>
      </c>
      <c r="D75" t="s">
        <v>55</v>
      </c>
      <c r="E75">
        <f>4*60+44</f>
        <v>284</v>
      </c>
    </row>
    <row r="76" spans="1:5" x14ac:dyDescent="0.3">
      <c r="A76">
        <v>13</v>
      </c>
      <c r="B76" t="s">
        <v>44</v>
      </c>
      <c r="C76" t="s">
        <v>144</v>
      </c>
      <c r="D76" t="s">
        <v>45</v>
      </c>
      <c r="E76">
        <f>4*60</f>
        <v>240</v>
      </c>
    </row>
    <row r="77" spans="1:5" x14ac:dyDescent="0.3">
      <c r="A77">
        <v>14</v>
      </c>
      <c r="B77" t="s">
        <v>44</v>
      </c>
      <c r="C77" t="s">
        <v>144</v>
      </c>
      <c r="D77" t="s">
        <v>49</v>
      </c>
      <c r="E77">
        <f>4*60+5</f>
        <v>245</v>
      </c>
    </row>
    <row r="78" spans="1:5" x14ac:dyDescent="0.3">
      <c r="A78">
        <v>15</v>
      </c>
      <c r="B78" t="s">
        <v>44</v>
      </c>
      <c r="C78" t="s">
        <v>144</v>
      </c>
      <c r="D78" t="s">
        <v>52</v>
      </c>
      <c r="E78">
        <f>3*60+40</f>
        <v>220</v>
      </c>
    </row>
    <row r="79" spans="1:5" x14ac:dyDescent="0.3">
      <c r="A79">
        <v>16</v>
      </c>
      <c r="B79" t="s">
        <v>44</v>
      </c>
      <c r="C79" t="s">
        <v>144</v>
      </c>
      <c r="D79" t="s">
        <v>50</v>
      </c>
      <c r="E79">
        <f>3*60+58</f>
        <v>238</v>
      </c>
    </row>
    <row r="80" spans="1:5" x14ac:dyDescent="0.3">
      <c r="A80">
        <v>17</v>
      </c>
      <c r="B80" t="s">
        <v>44</v>
      </c>
      <c r="C80" t="s">
        <v>144</v>
      </c>
      <c r="D80" t="s">
        <v>169</v>
      </c>
      <c r="E80">
        <f>4*60+45</f>
        <v>285</v>
      </c>
    </row>
    <row r="81" spans="1:6" x14ac:dyDescent="0.3">
      <c r="A81">
        <v>18</v>
      </c>
      <c r="B81" t="s">
        <v>44</v>
      </c>
      <c r="C81" t="s">
        <v>144</v>
      </c>
      <c r="D81" t="s">
        <v>170</v>
      </c>
      <c r="E81">
        <f>3*60+43</f>
        <v>223</v>
      </c>
    </row>
    <row r="82" spans="1:6" x14ac:dyDescent="0.3">
      <c r="A82">
        <v>19</v>
      </c>
      <c r="B82" t="s">
        <v>44</v>
      </c>
      <c r="C82" t="s">
        <v>144</v>
      </c>
      <c r="D82" t="s">
        <v>171</v>
      </c>
      <c r="E82">
        <f>3*60+40</f>
        <v>220</v>
      </c>
    </row>
    <row r="83" spans="1:6" x14ac:dyDescent="0.3">
      <c r="A83">
        <v>20</v>
      </c>
      <c r="B83" t="s">
        <v>44</v>
      </c>
      <c r="C83" t="s">
        <v>144</v>
      </c>
      <c r="D83" t="s">
        <v>172</v>
      </c>
      <c r="E83">
        <f>5*60+21</f>
        <v>321</v>
      </c>
    </row>
    <row r="84" spans="1:6" x14ac:dyDescent="0.3">
      <c r="A84">
        <v>21</v>
      </c>
      <c r="B84" t="s">
        <v>44</v>
      </c>
      <c r="C84" t="s">
        <v>144</v>
      </c>
      <c r="D84" t="s">
        <v>173</v>
      </c>
      <c r="E84">
        <f>4*60+24</f>
        <v>264</v>
      </c>
    </row>
    <row r="85" spans="1:6" x14ac:dyDescent="0.3">
      <c r="A85">
        <v>22</v>
      </c>
      <c r="B85" t="s">
        <v>44</v>
      </c>
      <c r="C85" t="s">
        <v>144</v>
      </c>
      <c r="D85" t="s">
        <v>174</v>
      </c>
      <c r="E85">
        <f>4*60+57</f>
        <v>297</v>
      </c>
      <c r="F85" t="s">
        <v>144</v>
      </c>
    </row>
    <row r="86" spans="1:6" x14ac:dyDescent="0.3">
      <c r="A86">
        <v>23</v>
      </c>
      <c r="B86" t="s">
        <v>44</v>
      </c>
      <c r="C86" t="s">
        <v>144</v>
      </c>
      <c r="D86" t="s">
        <v>175</v>
      </c>
      <c r="E86">
        <f>4*60+18</f>
        <v>258</v>
      </c>
      <c r="F86" t="s">
        <v>144</v>
      </c>
    </row>
    <row r="87" spans="1:6" x14ac:dyDescent="0.3">
      <c r="A87">
        <v>24</v>
      </c>
      <c r="B87" t="s">
        <v>44</v>
      </c>
      <c r="C87" t="s">
        <v>144</v>
      </c>
      <c r="D87" t="s">
        <v>176</v>
      </c>
      <c r="E87">
        <f>3*60+44</f>
        <v>224</v>
      </c>
      <c r="F87" t="s">
        <v>144</v>
      </c>
    </row>
    <row r="88" spans="1:6" x14ac:dyDescent="0.3">
      <c r="A88">
        <v>25</v>
      </c>
      <c r="B88" t="s">
        <v>44</v>
      </c>
      <c r="C88" t="s">
        <v>144</v>
      </c>
      <c r="D88" t="s">
        <v>177</v>
      </c>
      <c r="E88">
        <f>3*60+45</f>
        <v>225</v>
      </c>
      <c r="F88" t="s">
        <v>144</v>
      </c>
    </row>
    <row r="89" spans="1:6" x14ac:dyDescent="0.3">
      <c r="A89">
        <v>26</v>
      </c>
      <c r="B89" t="s">
        <v>44</v>
      </c>
      <c r="C89" t="s">
        <v>144</v>
      </c>
      <c r="D89" t="s">
        <v>178</v>
      </c>
      <c r="E89">
        <f>4*60+45</f>
        <v>285</v>
      </c>
      <c r="F89" t="s">
        <v>144</v>
      </c>
    </row>
    <row r="90" spans="1:6" x14ac:dyDescent="0.3">
      <c r="A90">
        <v>27</v>
      </c>
      <c r="B90" t="s">
        <v>44</v>
      </c>
      <c r="C90" t="s">
        <v>144</v>
      </c>
      <c r="D90" t="s">
        <v>179</v>
      </c>
      <c r="E90">
        <f>4*60+23</f>
        <v>263</v>
      </c>
      <c r="F90" t="s">
        <v>144</v>
      </c>
    </row>
    <row r="91" spans="1:6" x14ac:dyDescent="0.3">
      <c r="A91">
        <v>28</v>
      </c>
      <c r="B91" t="s">
        <v>44</v>
      </c>
      <c r="C91" t="s">
        <v>144</v>
      </c>
      <c r="D91" t="s">
        <v>180</v>
      </c>
      <c r="E91">
        <f>4*60</f>
        <v>240</v>
      </c>
      <c r="F91" t="s">
        <v>144</v>
      </c>
    </row>
    <row r="92" spans="1:6" x14ac:dyDescent="0.3">
      <c r="A92">
        <v>29</v>
      </c>
      <c r="B92" t="s">
        <v>44</v>
      </c>
      <c r="C92" t="s">
        <v>144</v>
      </c>
      <c r="D92" t="s">
        <v>181</v>
      </c>
      <c r="E92">
        <f>3*60+20</f>
        <v>200</v>
      </c>
      <c r="F92" t="s">
        <v>144</v>
      </c>
    </row>
    <row r="93" spans="1:6" x14ac:dyDescent="0.3">
      <c r="A93">
        <v>30</v>
      </c>
      <c r="B93" t="s">
        <v>44</v>
      </c>
      <c r="C93" t="s">
        <v>144</v>
      </c>
      <c r="D93" t="s">
        <v>182</v>
      </c>
      <c r="E93">
        <f>10*60+13</f>
        <v>613</v>
      </c>
      <c r="F93" t="s">
        <v>144</v>
      </c>
    </row>
    <row r="94" spans="1:6" x14ac:dyDescent="0.3">
      <c r="A94">
        <v>1</v>
      </c>
      <c r="B94">
        <v>1989</v>
      </c>
      <c r="C94" t="s">
        <v>144</v>
      </c>
      <c r="D94" t="s">
        <v>183</v>
      </c>
      <c r="E94">
        <f>3*60+32</f>
        <v>212</v>
      </c>
    </row>
    <row r="95" spans="1:6" x14ac:dyDescent="0.3">
      <c r="A95">
        <v>2</v>
      </c>
      <c r="B95">
        <v>1989</v>
      </c>
      <c r="C95" t="s">
        <v>144</v>
      </c>
      <c r="D95" t="s">
        <v>62</v>
      </c>
      <c r="E95">
        <f>3*60+51</f>
        <v>231</v>
      </c>
    </row>
    <row r="96" spans="1:6" x14ac:dyDescent="0.3">
      <c r="A96">
        <v>3</v>
      </c>
      <c r="B96">
        <v>1989</v>
      </c>
      <c r="C96" t="s">
        <v>144</v>
      </c>
      <c r="D96" t="s">
        <v>63</v>
      </c>
      <c r="E96">
        <f>3*60+51</f>
        <v>231</v>
      </c>
    </row>
    <row r="97" spans="1:6" x14ac:dyDescent="0.3">
      <c r="A97">
        <v>4</v>
      </c>
      <c r="B97">
        <v>1989</v>
      </c>
      <c r="C97" t="s">
        <v>144</v>
      </c>
      <c r="D97" t="s">
        <v>184</v>
      </c>
      <c r="E97">
        <f>3*60+55</f>
        <v>235</v>
      </c>
    </row>
    <row r="98" spans="1:6" x14ac:dyDescent="0.3">
      <c r="A98">
        <v>5</v>
      </c>
      <c r="B98">
        <v>1989</v>
      </c>
      <c r="C98" t="s">
        <v>144</v>
      </c>
      <c r="D98" t="s">
        <v>185</v>
      </c>
      <c r="E98">
        <f>3*60+13</f>
        <v>193</v>
      </c>
    </row>
    <row r="99" spans="1:6" x14ac:dyDescent="0.3">
      <c r="A99">
        <v>6</v>
      </c>
      <c r="B99">
        <v>1989</v>
      </c>
      <c r="C99" t="s">
        <v>144</v>
      </c>
      <c r="D99" t="s">
        <v>61</v>
      </c>
      <c r="E99">
        <f>3*60+39</f>
        <v>219</v>
      </c>
    </row>
    <row r="100" spans="1:6" x14ac:dyDescent="0.3">
      <c r="A100">
        <v>7</v>
      </c>
      <c r="B100">
        <v>1989</v>
      </c>
      <c r="C100" t="s">
        <v>144</v>
      </c>
      <c r="D100" t="s">
        <v>66</v>
      </c>
      <c r="E100">
        <f>3*60+27</f>
        <v>207</v>
      </c>
    </row>
    <row r="101" spans="1:6" x14ac:dyDescent="0.3">
      <c r="A101">
        <v>8</v>
      </c>
      <c r="B101">
        <v>1989</v>
      </c>
      <c r="C101" t="s">
        <v>144</v>
      </c>
      <c r="D101" t="s">
        <v>64</v>
      </c>
      <c r="E101">
        <f>3*60+31</f>
        <v>211</v>
      </c>
    </row>
    <row r="102" spans="1:6" x14ac:dyDescent="0.3">
      <c r="A102">
        <v>9</v>
      </c>
      <c r="B102">
        <v>1989</v>
      </c>
      <c r="C102" t="s">
        <v>144</v>
      </c>
      <c r="D102" t="s">
        <v>60</v>
      </c>
      <c r="E102">
        <f>3*60+40</f>
        <v>220</v>
      </c>
    </row>
    <row r="103" spans="1:6" x14ac:dyDescent="0.3">
      <c r="A103">
        <v>10</v>
      </c>
      <c r="B103">
        <v>1989</v>
      </c>
      <c r="C103" t="s">
        <v>144</v>
      </c>
      <c r="D103" t="s">
        <v>57</v>
      </c>
      <c r="E103">
        <f>4*60+7</f>
        <v>247</v>
      </c>
    </row>
    <row r="104" spans="1:6" x14ac:dyDescent="0.3">
      <c r="A104">
        <v>11</v>
      </c>
      <c r="B104">
        <v>1989</v>
      </c>
      <c r="C104" t="s">
        <v>144</v>
      </c>
      <c r="D104" t="s">
        <v>58</v>
      </c>
      <c r="E104">
        <f>4*60+10</f>
        <v>250</v>
      </c>
    </row>
    <row r="105" spans="1:6" x14ac:dyDescent="0.3">
      <c r="A105">
        <v>12</v>
      </c>
      <c r="B105">
        <v>1989</v>
      </c>
      <c r="C105" t="s">
        <v>144</v>
      </c>
      <c r="D105" t="s">
        <v>59</v>
      </c>
      <c r="E105">
        <f>3*60+15</f>
        <v>195</v>
      </c>
    </row>
    <row r="106" spans="1:6" x14ac:dyDescent="0.3">
      <c r="A106">
        <v>13</v>
      </c>
      <c r="B106">
        <v>1989</v>
      </c>
      <c r="C106" t="s">
        <v>144</v>
      </c>
      <c r="D106" t="s">
        <v>65</v>
      </c>
      <c r="E106">
        <f>4*60+31</f>
        <v>271</v>
      </c>
    </row>
    <row r="107" spans="1:6" x14ac:dyDescent="0.3">
      <c r="A107">
        <v>14</v>
      </c>
      <c r="B107">
        <v>1989</v>
      </c>
      <c r="C107" t="s">
        <v>144</v>
      </c>
      <c r="D107" t="s">
        <v>186</v>
      </c>
      <c r="E107">
        <f>4*60+5</f>
        <v>245</v>
      </c>
    </row>
    <row r="108" spans="1:6" x14ac:dyDescent="0.3">
      <c r="A108">
        <v>15</v>
      </c>
      <c r="B108">
        <v>1989</v>
      </c>
      <c r="C108" t="s">
        <v>144</v>
      </c>
      <c r="D108" t="s">
        <v>187</v>
      </c>
      <c r="E108">
        <f>4*60+27</f>
        <v>267</v>
      </c>
    </row>
    <row r="109" spans="1:6" x14ac:dyDescent="0.3">
      <c r="A109">
        <v>16</v>
      </c>
      <c r="B109">
        <v>1989</v>
      </c>
      <c r="C109" t="s">
        <v>144</v>
      </c>
      <c r="D109" t="s">
        <v>188</v>
      </c>
      <c r="E109">
        <f>3*60+50</f>
        <v>230</v>
      </c>
    </row>
    <row r="110" spans="1:6" x14ac:dyDescent="0.3">
      <c r="A110">
        <v>17</v>
      </c>
      <c r="B110">
        <v>1989</v>
      </c>
      <c r="C110" t="s">
        <v>144</v>
      </c>
      <c r="D110" t="s">
        <v>189</v>
      </c>
      <c r="E110">
        <f>3*60</f>
        <v>180</v>
      </c>
      <c r="F110" t="s">
        <v>144</v>
      </c>
    </row>
    <row r="111" spans="1:6" x14ac:dyDescent="0.3">
      <c r="A111">
        <v>18</v>
      </c>
      <c r="B111">
        <v>1989</v>
      </c>
      <c r="C111" t="s">
        <v>144</v>
      </c>
      <c r="D111" t="s">
        <v>190</v>
      </c>
      <c r="E111">
        <f>4*60+39</f>
        <v>279</v>
      </c>
      <c r="F111" t="s">
        <v>144</v>
      </c>
    </row>
    <row r="112" spans="1:6" x14ac:dyDescent="0.3">
      <c r="A112">
        <v>19</v>
      </c>
      <c r="B112">
        <v>1989</v>
      </c>
      <c r="C112" t="s">
        <v>144</v>
      </c>
      <c r="D112" t="s">
        <v>191</v>
      </c>
      <c r="E112">
        <f>2*60+26</f>
        <v>146</v>
      </c>
      <c r="F112" t="s">
        <v>144</v>
      </c>
    </row>
    <row r="113" spans="1:6" x14ac:dyDescent="0.3">
      <c r="A113">
        <v>20</v>
      </c>
      <c r="B113">
        <v>1989</v>
      </c>
      <c r="C113" t="s">
        <v>144</v>
      </c>
      <c r="D113" t="s">
        <v>192</v>
      </c>
      <c r="E113">
        <f>2*60+51</f>
        <v>171</v>
      </c>
      <c r="F113" t="s">
        <v>144</v>
      </c>
    </row>
    <row r="114" spans="1:6" x14ac:dyDescent="0.3">
      <c r="A114">
        <v>21</v>
      </c>
      <c r="B114">
        <v>1989</v>
      </c>
      <c r="C114" t="s">
        <v>144</v>
      </c>
      <c r="D114" t="s">
        <v>193</v>
      </c>
      <c r="E114">
        <f>3*60+49</f>
        <v>229</v>
      </c>
      <c r="F114" t="s">
        <v>144</v>
      </c>
    </row>
    <row r="115" spans="1:6" x14ac:dyDescent="0.3">
      <c r="A115">
        <v>22</v>
      </c>
      <c r="B115">
        <v>1989</v>
      </c>
      <c r="C115" t="s">
        <v>144</v>
      </c>
      <c r="D115" t="s">
        <v>194</v>
      </c>
      <c r="E115">
        <f>3*60+19</f>
        <v>199</v>
      </c>
    </row>
    <row r="116" spans="1:6" x14ac:dyDescent="0.3">
      <c r="A116">
        <v>1</v>
      </c>
      <c r="B116" t="s">
        <v>67</v>
      </c>
      <c r="C116" t="s">
        <v>143</v>
      </c>
      <c r="D116" t="s">
        <v>195</v>
      </c>
      <c r="E116">
        <f>3*60+28</f>
        <v>208</v>
      </c>
    </row>
    <row r="117" spans="1:6" x14ac:dyDescent="0.3">
      <c r="A117">
        <v>2</v>
      </c>
      <c r="B117" t="s">
        <v>67</v>
      </c>
      <c r="C117" t="s">
        <v>143</v>
      </c>
      <c r="D117" t="s">
        <v>71</v>
      </c>
      <c r="E117">
        <f>4*60+4</f>
        <v>244</v>
      </c>
    </row>
    <row r="118" spans="1:6" x14ac:dyDescent="0.3">
      <c r="A118">
        <v>3</v>
      </c>
      <c r="B118" t="s">
        <v>67</v>
      </c>
      <c r="C118" t="s">
        <v>143</v>
      </c>
      <c r="D118" t="s">
        <v>80</v>
      </c>
      <c r="E118">
        <f>3*60+58</f>
        <v>238</v>
      </c>
    </row>
    <row r="119" spans="1:6" x14ac:dyDescent="0.3">
      <c r="A119">
        <v>4</v>
      </c>
      <c r="B119" t="s">
        <v>67</v>
      </c>
      <c r="C119" t="s">
        <v>143</v>
      </c>
      <c r="D119" t="s">
        <v>70</v>
      </c>
      <c r="E119">
        <f>3*60+56</f>
        <v>236</v>
      </c>
    </row>
    <row r="120" spans="1:6" x14ac:dyDescent="0.3">
      <c r="A120">
        <v>5</v>
      </c>
      <c r="B120" t="s">
        <v>67</v>
      </c>
      <c r="C120" t="s">
        <v>143</v>
      </c>
      <c r="D120" t="s">
        <v>68</v>
      </c>
      <c r="E120">
        <f>3*60+52</f>
        <v>232</v>
      </c>
    </row>
    <row r="121" spans="1:6" x14ac:dyDescent="0.3">
      <c r="A121">
        <v>6</v>
      </c>
      <c r="B121" t="s">
        <v>67</v>
      </c>
      <c r="C121" t="s">
        <v>143</v>
      </c>
      <c r="D121" t="s">
        <v>78</v>
      </c>
      <c r="E121">
        <f>3*60+31</f>
        <v>211</v>
      </c>
    </row>
    <row r="122" spans="1:6" x14ac:dyDescent="0.3">
      <c r="A122">
        <v>7</v>
      </c>
      <c r="B122" t="s">
        <v>67</v>
      </c>
      <c r="C122" t="s">
        <v>143</v>
      </c>
      <c r="D122" t="s">
        <v>79</v>
      </c>
      <c r="E122">
        <f>3*60+47</f>
        <v>227</v>
      </c>
    </row>
    <row r="123" spans="1:6" x14ac:dyDescent="0.3">
      <c r="A123">
        <v>8</v>
      </c>
      <c r="B123" t="s">
        <v>67</v>
      </c>
      <c r="C123" t="s">
        <v>143</v>
      </c>
      <c r="D123" t="s">
        <v>75</v>
      </c>
      <c r="E123">
        <f>3*60+29</f>
        <v>209</v>
      </c>
    </row>
    <row r="124" spans="1:6" x14ac:dyDescent="0.3">
      <c r="A124">
        <v>9</v>
      </c>
      <c r="B124" t="s">
        <v>67</v>
      </c>
      <c r="C124" t="s">
        <v>143</v>
      </c>
      <c r="D124" t="s">
        <v>69</v>
      </c>
      <c r="E124">
        <f>3*60+53</f>
        <v>233</v>
      </c>
    </row>
    <row r="125" spans="1:6" x14ac:dyDescent="0.3">
      <c r="A125">
        <v>10</v>
      </c>
      <c r="B125" t="s">
        <v>67</v>
      </c>
      <c r="C125" t="s">
        <v>143</v>
      </c>
      <c r="D125" t="s">
        <v>73</v>
      </c>
      <c r="E125">
        <f>3*60+34</f>
        <v>214</v>
      </c>
    </row>
    <row r="126" spans="1:6" x14ac:dyDescent="0.3">
      <c r="A126">
        <v>11</v>
      </c>
      <c r="B126" t="s">
        <v>67</v>
      </c>
      <c r="C126" t="s">
        <v>143</v>
      </c>
      <c r="D126" t="s">
        <v>72</v>
      </c>
      <c r="E126">
        <f>3*60+31</f>
        <v>211</v>
      </c>
    </row>
    <row r="127" spans="1:6" x14ac:dyDescent="0.3">
      <c r="A127">
        <v>12</v>
      </c>
      <c r="B127" t="s">
        <v>67</v>
      </c>
      <c r="C127" t="s">
        <v>143</v>
      </c>
      <c r="D127" t="s">
        <v>77</v>
      </c>
      <c r="E127">
        <f>3*60+50</f>
        <v>230</v>
      </c>
    </row>
    <row r="128" spans="1:6" x14ac:dyDescent="0.3">
      <c r="A128">
        <v>13</v>
      </c>
      <c r="B128" t="s">
        <v>67</v>
      </c>
      <c r="C128" t="s">
        <v>143</v>
      </c>
      <c r="D128" t="s">
        <v>139</v>
      </c>
      <c r="E128">
        <f>3*60+27</f>
        <v>207</v>
      </c>
    </row>
    <row r="129" spans="1:5" x14ac:dyDescent="0.3">
      <c r="A129">
        <v>14</v>
      </c>
      <c r="B129" t="s">
        <v>67</v>
      </c>
      <c r="C129" t="s">
        <v>143</v>
      </c>
      <c r="D129" t="s">
        <v>76</v>
      </c>
      <c r="E129">
        <f>3*60+23</f>
        <v>203</v>
      </c>
    </row>
    <row r="130" spans="1:5" x14ac:dyDescent="0.3">
      <c r="A130">
        <v>15</v>
      </c>
      <c r="B130" t="s">
        <v>67</v>
      </c>
      <c r="C130" t="s">
        <v>143</v>
      </c>
      <c r="D130" t="s">
        <v>74</v>
      </c>
      <c r="E130">
        <f>3*60+55</f>
        <v>235</v>
      </c>
    </row>
    <row r="131" spans="1:5" x14ac:dyDescent="0.3">
      <c r="A131">
        <v>17</v>
      </c>
      <c r="B131" t="s">
        <v>81</v>
      </c>
      <c r="C131" t="s">
        <v>143</v>
      </c>
      <c r="D131" t="s">
        <v>82</v>
      </c>
      <c r="E131">
        <f>2*60+30</f>
        <v>150</v>
      </c>
    </row>
    <row r="132" spans="1:5" x14ac:dyDescent="0.3">
      <c r="A132">
        <v>6</v>
      </c>
      <c r="B132" t="s">
        <v>81</v>
      </c>
      <c r="C132" t="s">
        <v>143</v>
      </c>
      <c r="D132" t="s">
        <v>83</v>
      </c>
      <c r="E132">
        <f>2*60+53</f>
        <v>173</v>
      </c>
    </row>
    <row r="133" spans="1:5" x14ac:dyDescent="0.3">
      <c r="A133">
        <v>11</v>
      </c>
      <c r="B133" t="s">
        <v>81</v>
      </c>
      <c r="C133" t="s">
        <v>143</v>
      </c>
      <c r="D133" t="s">
        <v>84</v>
      </c>
      <c r="E133">
        <f>3*60+10</f>
        <v>190</v>
      </c>
    </row>
    <row r="134" spans="1:5" x14ac:dyDescent="0.3">
      <c r="A134">
        <v>8</v>
      </c>
      <c r="B134" t="s">
        <v>81</v>
      </c>
      <c r="C134" t="s">
        <v>143</v>
      </c>
      <c r="D134" t="s">
        <v>85</v>
      </c>
      <c r="E134">
        <f>3*60+42</f>
        <v>222</v>
      </c>
    </row>
    <row r="135" spans="1:5" x14ac:dyDescent="0.3">
      <c r="A135">
        <v>7</v>
      </c>
      <c r="B135" t="s">
        <v>81</v>
      </c>
      <c r="C135" t="s">
        <v>143</v>
      </c>
      <c r="D135" t="s">
        <v>86</v>
      </c>
      <c r="E135">
        <f>3*60+54</f>
        <v>234</v>
      </c>
    </row>
    <row r="136" spans="1:5" x14ac:dyDescent="0.3">
      <c r="A136">
        <v>3</v>
      </c>
      <c r="B136" t="s">
        <v>81</v>
      </c>
      <c r="C136" t="s">
        <v>143</v>
      </c>
      <c r="D136" t="s">
        <v>81</v>
      </c>
      <c r="E136">
        <f>3*60+41</f>
        <v>221</v>
      </c>
    </row>
    <row r="137" spans="1:5" x14ac:dyDescent="0.3">
      <c r="A137">
        <v>13</v>
      </c>
      <c r="B137" t="s">
        <v>81</v>
      </c>
      <c r="C137" t="s">
        <v>143</v>
      </c>
      <c r="D137" t="s">
        <v>87</v>
      </c>
      <c r="E137">
        <f>3*60+20</f>
        <v>200</v>
      </c>
    </row>
    <row r="138" spans="1:5" x14ac:dyDescent="0.3">
      <c r="A138">
        <v>9</v>
      </c>
      <c r="B138" t="s">
        <v>81</v>
      </c>
      <c r="C138" t="s">
        <v>143</v>
      </c>
      <c r="D138" t="s">
        <v>88</v>
      </c>
      <c r="E138">
        <f>4*60+47</f>
        <v>287</v>
      </c>
    </row>
    <row r="139" spans="1:5" x14ac:dyDescent="0.3">
      <c r="A139">
        <v>15</v>
      </c>
      <c r="B139" t="s">
        <v>81</v>
      </c>
      <c r="C139" t="s">
        <v>143</v>
      </c>
      <c r="D139" t="s">
        <v>89</v>
      </c>
      <c r="E139">
        <f>3*60+43</f>
        <v>223</v>
      </c>
    </row>
    <row r="140" spans="1:5" x14ac:dyDescent="0.3">
      <c r="A140">
        <v>1</v>
      </c>
      <c r="B140" t="s">
        <v>81</v>
      </c>
      <c r="C140" t="s">
        <v>143</v>
      </c>
      <c r="D140" t="s">
        <v>90</v>
      </c>
      <c r="E140">
        <f>2*60+50</f>
        <v>170</v>
      </c>
    </row>
    <row r="141" spans="1:5" x14ac:dyDescent="0.3">
      <c r="A141">
        <v>4</v>
      </c>
      <c r="B141" t="s">
        <v>81</v>
      </c>
      <c r="C141" t="s">
        <v>143</v>
      </c>
      <c r="D141" t="s">
        <v>91</v>
      </c>
      <c r="E141">
        <f>3*60+10</f>
        <v>190</v>
      </c>
    </row>
    <row r="142" spans="1:5" x14ac:dyDescent="0.3">
      <c r="A142">
        <v>16</v>
      </c>
      <c r="B142" t="s">
        <v>81</v>
      </c>
      <c r="C142" t="s">
        <v>143</v>
      </c>
      <c r="D142" t="s">
        <v>197</v>
      </c>
      <c r="E142">
        <f>3*60+13</f>
        <v>193</v>
      </c>
    </row>
    <row r="143" spans="1:5" x14ac:dyDescent="0.3">
      <c r="A143">
        <v>18</v>
      </c>
      <c r="B143" t="s">
        <v>81</v>
      </c>
      <c r="C143" t="s">
        <v>143</v>
      </c>
      <c r="D143" t="s">
        <v>92</v>
      </c>
      <c r="E143">
        <f>4*60+53</f>
        <v>293</v>
      </c>
    </row>
    <row r="144" spans="1:5" x14ac:dyDescent="0.3">
      <c r="A144">
        <v>12</v>
      </c>
      <c r="B144" t="s">
        <v>81</v>
      </c>
      <c r="C144" t="s">
        <v>143</v>
      </c>
      <c r="D144" t="s">
        <v>196</v>
      </c>
      <c r="E144">
        <f>3*60+21</f>
        <v>201</v>
      </c>
    </row>
    <row r="145" spans="1:5" x14ac:dyDescent="0.3">
      <c r="A145">
        <v>10</v>
      </c>
      <c r="B145" t="s">
        <v>81</v>
      </c>
      <c r="C145" t="s">
        <v>143</v>
      </c>
      <c r="D145" t="s">
        <v>93</v>
      </c>
      <c r="E145">
        <f>3*60+18</f>
        <v>198</v>
      </c>
    </row>
    <row r="146" spans="1:5" x14ac:dyDescent="0.3">
      <c r="A146">
        <v>14</v>
      </c>
      <c r="B146" t="s">
        <v>81</v>
      </c>
      <c r="C146" t="s">
        <v>143</v>
      </c>
      <c r="D146" t="s">
        <v>94</v>
      </c>
      <c r="E146">
        <f>2*60+51</f>
        <v>171</v>
      </c>
    </row>
    <row r="147" spans="1:5" x14ac:dyDescent="0.3">
      <c r="A147">
        <v>2</v>
      </c>
      <c r="B147" t="s">
        <v>81</v>
      </c>
      <c r="C147" t="s">
        <v>143</v>
      </c>
      <c r="D147" t="s">
        <v>95</v>
      </c>
      <c r="E147">
        <f>2*60+58</f>
        <v>178</v>
      </c>
    </row>
    <row r="148" spans="1:5" x14ac:dyDescent="0.3">
      <c r="A148">
        <v>5</v>
      </c>
      <c r="B148" t="s">
        <v>81</v>
      </c>
      <c r="C148" t="s">
        <v>143</v>
      </c>
      <c r="D148" t="s">
        <v>96</v>
      </c>
      <c r="E148">
        <f>3*60+31</f>
        <v>211</v>
      </c>
    </row>
    <row r="149" spans="1:5" x14ac:dyDescent="0.3">
      <c r="A149">
        <v>12</v>
      </c>
      <c r="B149" t="s">
        <v>97</v>
      </c>
      <c r="C149" t="s">
        <v>143</v>
      </c>
      <c r="D149" t="s">
        <v>112</v>
      </c>
      <c r="E149">
        <f>3*60+57</f>
        <v>237</v>
      </c>
    </row>
    <row r="150" spans="1:5" x14ac:dyDescent="0.3">
      <c r="A150">
        <v>9</v>
      </c>
      <c r="B150" t="s">
        <v>97</v>
      </c>
      <c r="C150" t="s">
        <v>143</v>
      </c>
      <c r="D150" t="s">
        <v>113</v>
      </c>
      <c r="E150">
        <f>3*60+15</f>
        <v>195</v>
      </c>
    </row>
    <row r="151" spans="1:5" x14ac:dyDescent="0.3">
      <c r="A151">
        <v>13</v>
      </c>
      <c r="B151" t="s">
        <v>97</v>
      </c>
      <c r="C151" t="s">
        <v>143</v>
      </c>
      <c r="D151" t="s">
        <v>114</v>
      </c>
      <c r="E151">
        <f>4*60+49</f>
        <v>289</v>
      </c>
    </row>
    <row r="152" spans="1:5" x14ac:dyDescent="0.3">
      <c r="A152">
        <v>11</v>
      </c>
      <c r="B152" t="s">
        <v>97</v>
      </c>
      <c r="C152" t="s">
        <v>143</v>
      </c>
      <c r="D152" t="s">
        <v>115</v>
      </c>
      <c r="E152">
        <f>4*60+12</f>
        <v>252</v>
      </c>
    </row>
    <row r="153" spans="1:5" x14ac:dyDescent="0.3">
      <c r="A153">
        <v>6</v>
      </c>
      <c r="B153" t="s">
        <v>97</v>
      </c>
      <c r="C153" t="s">
        <v>143</v>
      </c>
      <c r="D153" t="s">
        <v>116</v>
      </c>
      <c r="E153">
        <f>3*60+28</f>
        <v>208</v>
      </c>
    </row>
    <row r="154" spans="1:5" x14ac:dyDescent="0.3">
      <c r="A154">
        <v>4</v>
      </c>
      <c r="B154" t="s">
        <v>97</v>
      </c>
      <c r="C154" t="s">
        <v>143</v>
      </c>
      <c r="D154" t="s">
        <v>199</v>
      </c>
      <c r="E154">
        <f>4*60+45</f>
        <v>285</v>
      </c>
    </row>
    <row r="155" spans="1:5" x14ac:dyDescent="0.3">
      <c r="A155">
        <v>5</v>
      </c>
      <c r="B155" t="s">
        <v>97</v>
      </c>
      <c r="C155" t="s">
        <v>143</v>
      </c>
      <c r="D155" t="s">
        <v>117</v>
      </c>
      <c r="E155">
        <f>4*60+15</f>
        <v>255</v>
      </c>
    </row>
    <row r="156" spans="1:5" x14ac:dyDescent="0.3">
      <c r="A156">
        <v>15</v>
      </c>
      <c r="B156" t="s">
        <v>97</v>
      </c>
      <c r="C156" t="s">
        <v>143</v>
      </c>
      <c r="D156" t="s">
        <v>118</v>
      </c>
      <c r="E156">
        <f>3*60+54</f>
        <v>234</v>
      </c>
    </row>
    <row r="157" spans="1:5" x14ac:dyDescent="0.3">
      <c r="A157">
        <v>7</v>
      </c>
      <c r="B157" t="s">
        <v>97</v>
      </c>
      <c r="C157" t="s">
        <v>143</v>
      </c>
      <c r="D157" t="s">
        <v>119</v>
      </c>
      <c r="E157">
        <f>3*60+28</f>
        <v>208</v>
      </c>
    </row>
    <row r="158" spans="1:5" x14ac:dyDescent="0.3">
      <c r="A158">
        <v>3</v>
      </c>
      <c r="B158" t="s">
        <v>97</v>
      </c>
      <c r="C158" t="s">
        <v>143</v>
      </c>
      <c r="D158" t="s">
        <v>120</v>
      </c>
      <c r="E158">
        <f>3*60+51</f>
        <v>231</v>
      </c>
    </row>
    <row r="159" spans="1:5" x14ac:dyDescent="0.3">
      <c r="A159">
        <v>2</v>
      </c>
      <c r="B159" t="s">
        <v>97</v>
      </c>
      <c r="C159" t="s">
        <v>143</v>
      </c>
      <c r="D159" t="s">
        <v>121</v>
      </c>
      <c r="E159">
        <f>3*60+59</f>
        <v>239</v>
      </c>
    </row>
    <row r="160" spans="1:5" x14ac:dyDescent="0.3">
      <c r="A160">
        <v>16</v>
      </c>
      <c r="B160" t="s">
        <v>97</v>
      </c>
      <c r="C160" t="s">
        <v>143</v>
      </c>
      <c r="D160" t="s">
        <v>122</v>
      </c>
      <c r="E160">
        <f>3*60+40</f>
        <v>220</v>
      </c>
    </row>
    <row r="161" spans="1:6" x14ac:dyDescent="0.3">
      <c r="A161">
        <v>8</v>
      </c>
      <c r="B161" t="s">
        <v>97</v>
      </c>
      <c r="C161" t="s">
        <v>143</v>
      </c>
      <c r="D161" t="s">
        <v>123</v>
      </c>
      <c r="E161">
        <f>4*60+21</f>
        <v>261</v>
      </c>
    </row>
    <row r="162" spans="1:6" x14ac:dyDescent="0.3">
      <c r="A162">
        <v>11</v>
      </c>
      <c r="B162" t="s">
        <v>97</v>
      </c>
      <c r="C162" t="s">
        <v>143</v>
      </c>
      <c r="D162" t="s">
        <v>124</v>
      </c>
      <c r="E162">
        <f>3*60+10</f>
        <v>190</v>
      </c>
    </row>
    <row r="163" spans="1:6" x14ac:dyDescent="0.3">
      <c r="A163">
        <v>1</v>
      </c>
      <c r="B163" t="s">
        <v>97</v>
      </c>
      <c r="C163" t="s">
        <v>143</v>
      </c>
      <c r="D163" t="s">
        <v>125</v>
      </c>
      <c r="E163">
        <f>3*60+30</f>
        <v>210</v>
      </c>
    </row>
    <row r="164" spans="1:6" x14ac:dyDescent="0.3">
      <c r="A164">
        <v>14</v>
      </c>
      <c r="B164" t="s">
        <v>97</v>
      </c>
      <c r="C164" t="s">
        <v>143</v>
      </c>
      <c r="D164" t="s">
        <v>126</v>
      </c>
      <c r="E164">
        <f>4*60+54</f>
        <v>294</v>
      </c>
    </row>
    <row r="165" spans="1:6" x14ac:dyDescent="0.3">
      <c r="A165">
        <v>17</v>
      </c>
      <c r="B165" t="s">
        <v>97</v>
      </c>
      <c r="C165" t="s">
        <v>143</v>
      </c>
      <c r="D165" t="s">
        <v>198</v>
      </c>
      <c r="E165">
        <f>3*60+31</f>
        <v>211</v>
      </c>
    </row>
    <row r="166" spans="1:6" x14ac:dyDescent="0.3">
      <c r="A166">
        <v>14</v>
      </c>
      <c r="B166" t="s">
        <v>98</v>
      </c>
      <c r="C166" t="s">
        <v>143</v>
      </c>
      <c r="D166" t="s">
        <v>127</v>
      </c>
      <c r="E166">
        <f>3*60</f>
        <v>180</v>
      </c>
    </row>
    <row r="167" spans="1:6" x14ac:dyDescent="0.3">
      <c r="A167">
        <v>12</v>
      </c>
      <c r="B167" t="s">
        <v>98</v>
      </c>
      <c r="C167" t="s">
        <v>143</v>
      </c>
      <c r="D167" t="s">
        <v>128</v>
      </c>
      <c r="E167">
        <f>3*60+35</f>
        <v>215</v>
      </c>
    </row>
    <row r="168" spans="1:6" x14ac:dyDescent="0.3">
      <c r="A168">
        <v>1</v>
      </c>
      <c r="B168" t="s">
        <v>98</v>
      </c>
      <c r="C168" t="s">
        <v>143</v>
      </c>
      <c r="D168" t="s">
        <v>129</v>
      </c>
      <c r="E168">
        <f>3*60+34</f>
        <v>214</v>
      </c>
    </row>
    <row r="169" spans="1:6" x14ac:dyDescent="0.3">
      <c r="A169">
        <v>8</v>
      </c>
      <c r="B169" t="s">
        <v>98</v>
      </c>
      <c r="C169" t="s">
        <v>143</v>
      </c>
      <c r="D169" t="s">
        <v>130</v>
      </c>
      <c r="E169">
        <f>3*60+45</f>
        <v>225</v>
      </c>
    </row>
    <row r="170" spans="1:6" x14ac:dyDescent="0.3">
      <c r="A170">
        <v>4</v>
      </c>
      <c r="B170" t="s">
        <v>98</v>
      </c>
      <c r="C170" t="s">
        <v>143</v>
      </c>
      <c r="D170" s="2" t="s">
        <v>131</v>
      </c>
      <c r="E170" s="2">
        <f>3*60+49</f>
        <v>229</v>
      </c>
      <c r="F170" s="2"/>
    </row>
    <row r="171" spans="1:6" x14ac:dyDescent="0.3">
      <c r="A171">
        <v>3</v>
      </c>
      <c r="B171" t="s">
        <v>98</v>
      </c>
      <c r="C171" t="s">
        <v>143</v>
      </c>
      <c r="D171" t="s">
        <v>132</v>
      </c>
      <c r="E171">
        <f>3*60+5</f>
        <v>185</v>
      </c>
    </row>
    <row r="172" spans="1:6" x14ac:dyDescent="0.3">
      <c r="A172">
        <v>13</v>
      </c>
      <c r="B172" t="s">
        <v>98</v>
      </c>
      <c r="C172" t="s">
        <v>143</v>
      </c>
      <c r="D172" t="s">
        <v>133</v>
      </c>
      <c r="E172">
        <f>4*60+17</f>
        <v>257</v>
      </c>
    </row>
    <row r="173" spans="1:6" x14ac:dyDescent="0.3">
      <c r="A173">
        <v>7</v>
      </c>
      <c r="B173" t="s">
        <v>98</v>
      </c>
      <c r="C173" t="s">
        <v>143</v>
      </c>
      <c r="D173" t="s">
        <v>134</v>
      </c>
      <c r="E173">
        <f>5*60+15</f>
        <v>315</v>
      </c>
    </row>
    <row r="174" spans="1:6" x14ac:dyDescent="0.3">
      <c r="A174">
        <v>11</v>
      </c>
      <c r="B174" t="s">
        <v>98</v>
      </c>
      <c r="C174" t="s">
        <v>143</v>
      </c>
      <c r="D174" t="s">
        <v>135</v>
      </c>
      <c r="E174">
        <f>4*60+35</f>
        <v>275</v>
      </c>
    </row>
    <row r="175" spans="1:6" x14ac:dyDescent="0.3">
      <c r="A175">
        <v>15</v>
      </c>
      <c r="B175" t="s">
        <v>98</v>
      </c>
      <c r="C175" t="s">
        <v>143</v>
      </c>
      <c r="D175" t="s">
        <v>202</v>
      </c>
      <c r="E175">
        <f>5*60+4</f>
        <v>304</v>
      </c>
    </row>
    <row r="176" spans="1:6" x14ac:dyDescent="0.3">
      <c r="A176">
        <v>5</v>
      </c>
      <c r="B176" t="s">
        <v>98</v>
      </c>
      <c r="C176" t="s">
        <v>143</v>
      </c>
      <c r="D176" t="s">
        <v>136</v>
      </c>
      <c r="E176">
        <f>4*60+5</f>
        <v>245</v>
      </c>
    </row>
    <row r="177" spans="1:5" x14ac:dyDescent="0.3">
      <c r="A177">
        <v>6</v>
      </c>
      <c r="B177" t="s">
        <v>98</v>
      </c>
      <c r="C177" t="s">
        <v>143</v>
      </c>
      <c r="D177" t="s">
        <v>200</v>
      </c>
      <c r="E177">
        <f>3*60+35</f>
        <v>215</v>
      </c>
    </row>
    <row r="178" spans="1:5" x14ac:dyDescent="0.3">
      <c r="A178">
        <v>9</v>
      </c>
      <c r="B178" t="s">
        <v>98</v>
      </c>
      <c r="C178" t="s">
        <v>143</v>
      </c>
      <c r="D178" t="s">
        <v>201</v>
      </c>
      <c r="E178">
        <f>4*60+35</f>
        <v>275</v>
      </c>
    </row>
    <row r="179" spans="1:5" x14ac:dyDescent="0.3">
      <c r="A179">
        <v>2</v>
      </c>
      <c r="B179" t="s">
        <v>98</v>
      </c>
      <c r="C179" t="s">
        <v>143</v>
      </c>
      <c r="D179" t="s">
        <v>137</v>
      </c>
      <c r="E179">
        <f>4*60+4</f>
        <v>244</v>
      </c>
    </row>
    <row r="180" spans="1:5" x14ac:dyDescent="0.3">
      <c r="A180">
        <v>10</v>
      </c>
      <c r="B180" t="s">
        <v>98</v>
      </c>
      <c r="C180" t="s">
        <v>143</v>
      </c>
      <c r="D180" t="s">
        <v>138</v>
      </c>
      <c r="E180">
        <f>4*60+20</f>
        <v>260</v>
      </c>
    </row>
    <row r="181" spans="1:5" x14ac:dyDescent="0.3">
      <c r="A181">
        <v>16</v>
      </c>
      <c r="B181" t="s">
        <v>98</v>
      </c>
      <c r="C181" t="s">
        <v>143</v>
      </c>
      <c r="D181" t="s">
        <v>203</v>
      </c>
      <c r="E181">
        <f>4*60+5</f>
        <v>245</v>
      </c>
    </row>
    <row r="182" spans="1:5" x14ac:dyDescent="0.3">
      <c r="A182">
        <v>17</v>
      </c>
      <c r="B182" t="s">
        <v>98</v>
      </c>
      <c r="C182" t="s">
        <v>143</v>
      </c>
      <c r="D182" t="s">
        <v>204</v>
      </c>
      <c r="E182">
        <f>4*60+14</f>
        <v>254</v>
      </c>
    </row>
    <row r="183" spans="1:5" x14ac:dyDescent="0.3">
      <c r="A183">
        <v>1</v>
      </c>
      <c r="B183" t="s">
        <v>99</v>
      </c>
      <c r="C183" t="s">
        <v>143</v>
      </c>
      <c r="D183" t="s">
        <v>100</v>
      </c>
      <c r="E183">
        <f>3*60+22</f>
        <v>202</v>
      </c>
    </row>
    <row r="184" spans="1:5" x14ac:dyDescent="0.3">
      <c r="A184">
        <v>2</v>
      </c>
      <c r="B184" t="s">
        <v>99</v>
      </c>
      <c r="C184" t="s">
        <v>143</v>
      </c>
      <c r="D184" t="s">
        <v>101</v>
      </c>
      <c r="E184">
        <f>3*60+38</f>
        <v>218</v>
      </c>
    </row>
    <row r="185" spans="1:5" x14ac:dyDescent="0.3">
      <c r="A185">
        <v>10</v>
      </c>
      <c r="B185" t="s">
        <v>99</v>
      </c>
      <c r="C185" t="s">
        <v>143</v>
      </c>
      <c r="D185" t="s">
        <v>102</v>
      </c>
      <c r="E185">
        <f>4*60+7</f>
        <v>247</v>
      </c>
    </row>
    <row r="186" spans="1:5" x14ac:dyDescent="0.3">
      <c r="A186">
        <v>3</v>
      </c>
      <c r="B186" t="s">
        <v>99</v>
      </c>
      <c r="C186" t="s">
        <v>143</v>
      </c>
      <c r="D186" t="s">
        <v>103</v>
      </c>
      <c r="E186">
        <f>3*60+20</f>
        <v>200</v>
      </c>
    </row>
    <row r="187" spans="1:5" x14ac:dyDescent="0.3">
      <c r="A187">
        <v>8</v>
      </c>
      <c r="B187" t="s">
        <v>99</v>
      </c>
      <c r="C187" t="s">
        <v>143</v>
      </c>
      <c r="D187" t="s">
        <v>104</v>
      </c>
      <c r="E187">
        <f>2*60+44</f>
        <v>164</v>
      </c>
    </row>
    <row r="188" spans="1:5" x14ac:dyDescent="0.3">
      <c r="A188">
        <v>12</v>
      </c>
      <c r="B188" t="s">
        <v>99</v>
      </c>
      <c r="C188" t="s">
        <v>143</v>
      </c>
      <c r="D188" t="s">
        <v>105</v>
      </c>
      <c r="E188">
        <f>3*60+8</f>
        <v>188</v>
      </c>
    </row>
    <row r="189" spans="1:5" x14ac:dyDescent="0.3">
      <c r="A189">
        <v>11</v>
      </c>
      <c r="B189" t="s">
        <v>99</v>
      </c>
      <c r="C189" t="s">
        <v>143</v>
      </c>
      <c r="D189" t="s">
        <v>106</v>
      </c>
      <c r="E189">
        <f>3*60+24</f>
        <v>204</v>
      </c>
    </row>
    <row r="190" spans="1:5" x14ac:dyDescent="0.3">
      <c r="A190">
        <v>5</v>
      </c>
      <c r="B190" t="s">
        <v>99</v>
      </c>
      <c r="C190" t="s">
        <v>143</v>
      </c>
      <c r="D190" t="s">
        <v>107</v>
      </c>
      <c r="E190">
        <f>3*60+14</f>
        <v>194</v>
      </c>
    </row>
    <row r="191" spans="1:5" x14ac:dyDescent="0.3">
      <c r="A191">
        <v>7</v>
      </c>
      <c r="B191" t="s">
        <v>99</v>
      </c>
      <c r="C191" t="s">
        <v>143</v>
      </c>
      <c r="D191" t="s">
        <v>108</v>
      </c>
      <c r="E191">
        <f>3*60+30</f>
        <v>210</v>
      </c>
    </row>
    <row r="192" spans="1:5" x14ac:dyDescent="0.3">
      <c r="A192">
        <v>9</v>
      </c>
      <c r="B192" t="s">
        <v>99</v>
      </c>
      <c r="C192" t="s">
        <v>143</v>
      </c>
      <c r="D192" t="s">
        <v>109</v>
      </c>
      <c r="E192">
        <f>3*60+14</f>
        <v>194</v>
      </c>
    </row>
    <row r="193" spans="1:5" x14ac:dyDescent="0.3">
      <c r="A193">
        <v>4</v>
      </c>
      <c r="B193" t="s">
        <v>99</v>
      </c>
      <c r="C193" t="s">
        <v>143</v>
      </c>
      <c r="D193" t="s">
        <v>205</v>
      </c>
      <c r="E193">
        <f>4*60+16</f>
        <v>256</v>
      </c>
    </row>
    <row r="194" spans="1:5" x14ac:dyDescent="0.3">
      <c r="A194">
        <v>6</v>
      </c>
      <c r="B194" t="s">
        <v>99</v>
      </c>
      <c r="C194" t="s">
        <v>143</v>
      </c>
      <c r="D194" t="s">
        <v>110</v>
      </c>
      <c r="E194">
        <f>2*60+54</f>
        <v>174</v>
      </c>
    </row>
    <row r="195" spans="1:5" x14ac:dyDescent="0.3">
      <c r="A195">
        <v>13</v>
      </c>
      <c r="B195" t="s">
        <v>99</v>
      </c>
      <c r="C195" t="s">
        <v>143</v>
      </c>
      <c r="D195" t="s">
        <v>111</v>
      </c>
      <c r="E195">
        <f>3*60+11</f>
        <v>191</v>
      </c>
    </row>
    <row r="196" spans="1:5" x14ac:dyDescent="0.3">
      <c r="A196">
        <v>14</v>
      </c>
      <c r="B196" t="s">
        <v>99</v>
      </c>
      <c r="C196" t="s">
        <v>143</v>
      </c>
      <c r="D196" t="s">
        <v>206</v>
      </c>
      <c r="E196">
        <f>4*60</f>
        <v>240</v>
      </c>
    </row>
    <row r="197" spans="1:5" x14ac:dyDescent="0.3">
      <c r="A197">
        <v>15</v>
      </c>
      <c r="B197" t="s">
        <v>99</v>
      </c>
      <c r="C197" t="s">
        <v>143</v>
      </c>
      <c r="D197" t="s">
        <v>207</v>
      </c>
      <c r="E197">
        <f>3*60+38</f>
        <v>218</v>
      </c>
    </row>
    <row r="198" spans="1:5" x14ac:dyDescent="0.3">
      <c r="A198">
        <v>16</v>
      </c>
      <c r="B198" t="s">
        <v>99</v>
      </c>
      <c r="C198" t="s">
        <v>143</v>
      </c>
      <c r="D198" t="s">
        <v>208</v>
      </c>
      <c r="E198">
        <f>3*60+16</f>
        <v>196</v>
      </c>
    </row>
    <row r="199" spans="1:5" x14ac:dyDescent="0.3">
      <c r="A199">
        <v>17</v>
      </c>
      <c r="B199" t="s">
        <v>99</v>
      </c>
      <c r="C199" t="s">
        <v>143</v>
      </c>
      <c r="D199" t="s">
        <v>209</v>
      </c>
      <c r="E199">
        <f>3*60+51</f>
        <v>231</v>
      </c>
    </row>
    <row r="200" spans="1:5" x14ac:dyDescent="0.3">
      <c r="A200">
        <v>18</v>
      </c>
      <c r="B200" t="s">
        <v>99</v>
      </c>
      <c r="C200" t="s">
        <v>143</v>
      </c>
      <c r="D200" t="s">
        <v>210</v>
      </c>
      <c r="E200">
        <f>2*60+28</f>
        <v>148</v>
      </c>
    </row>
    <row r="201" spans="1:5" x14ac:dyDescent="0.3">
      <c r="A201">
        <v>19</v>
      </c>
      <c r="B201" t="s">
        <v>99</v>
      </c>
      <c r="C201" t="s">
        <v>143</v>
      </c>
      <c r="D201" t="s">
        <v>211</v>
      </c>
      <c r="E201">
        <f>4*60+20</f>
        <v>260</v>
      </c>
    </row>
    <row r="202" spans="1:5" x14ac:dyDescent="0.3">
      <c r="A202">
        <v>20</v>
      </c>
      <c r="B202" t="s">
        <v>99</v>
      </c>
      <c r="C202" t="s">
        <v>143</v>
      </c>
      <c r="D202" t="s">
        <v>212</v>
      </c>
      <c r="E202">
        <f>3*60+45</f>
        <v>225</v>
      </c>
    </row>
    <row r="203" spans="1:5" x14ac:dyDescent="0.3">
      <c r="A203">
        <v>21</v>
      </c>
      <c r="B203" t="s">
        <v>99</v>
      </c>
      <c r="C203" t="s">
        <v>143</v>
      </c>
      <c r="D203" t="s">
        <v>213</v>
      </c>
      <c r="E203">
        <f>3*60+54</f>
        <v>234</v>
      </c>
    </row>
    <row r="204" spans="1:5" x14ac:dyDescent="0.3">
      <c r="A204">
        <v>22</v>
      </c>
      <c r="B204" t="s">
        <v>99</v>
      </c>
      <c r="C204" t="s">
        <v>143</v>
      </c>
      <c r="D204" t="s">
        <v>214</v>
      </c>
      <c r="E204">
        <f>3*60+49</f>
        <v>229</v>
      </c>
    </row>
    <row r="205" spans="1:5" x14ac:dyDescent="0.3">
      <c r="A205">
        <v>23</v>
      </c>
      <c r="B205" t="s">
        <v>99</v>
      </c>
      <c r="C205" t="s">
        <v>143</v>
      </c>
      <c r="D205" t="s">
        <v>215</v>
      </c>
      <c r="E205">
        <f>3*60+21</f>
        <v>201</v>
      </c>
    </row>
    <row r="206" spans="1:5" x14ac:dyDescent="0.3">
      <c r="A206">
        <v>1</v>
      </c>
      <c r="B206" t="s">
        <v>216</v>
      </c>
      <c r="C206" t="s">
        <v>143</v>
      </c>
      <c r="D206" t="s">
        <v>217</v>
      </c>
      <c r="E206">
        <f>3*60+48</f>
        <v>228</v>
      </c>
    </row>
    <row r="207" spans="1:5" x14ac:dyDescent="0.3">
      <c r="A207">
        <v>2</v>
      </c>
      <c r="B207" t="s">
        <v>216</v>
      </c>
      <c r="C207" t="s">
        <v>143</v>
      </c>
      <c r="D207" t="s">
        <v>216</v>
      </c>
      <c r="E207">
        <f>4*60+53</f>
        <v>293</v>
      </c>
    </row>
    <row r="208" spans="1:5" x14ac:dyDescent="0.3">
      <c r="A208">
        <v>3</v>
      </c>
      <c r="B208" t="s">
        <v>216</v>
      </c>
      <c r="C208" t="s">
        <v>143</v>
      </c>
      <c r="D208" t="s">
        <v>218</v>
      </c>
      <c r="E208">
        <f>3*60+23</f>
        <v>203</v>
      </c>
    </row>
    <row r="209" spans="1:5" x14ac:dyDescent="0.3">
      <c r="A209">
        <v>4</v>
      </c>
      <c r="B209" t="s">
        <v>216</v>
      </c>
      <c r="C209" t="s">
        <v>143</v>
      </c>
      <c r="D209" t="s">
        <v>219</v>
      </c>
      <c r="E209">
        <f>4*60+21</f>
        <v>261</v>
      </c>
    </row>
    <row r="210" spans="1:5" x14ac:dyDescent="0.3">
      <c r="A210">
        <v>5</v>
      </c>
      <c r="B210" t="s">
        <v>216</v>
      </c>
      <c r="C210" t="s">
        <v>143</v>
      </c>
      <c r="D210" t="s">
        <v>220</v>
      </c>
      <c r="E210">
        <f>4*60+22</f>
        <v>262</v>
      </c>
    </row>
    <row r="211" spans="1:5" x14ac:dyDescent="0.3">
      <c r="A211">
        <v>6</v>
      </c>
      <c r="B211" t="s">
        <v>216</v>
      </c>
      <c r="C211" t="s">
        <v>143</v>
      </c>
      <c r="D211" t="s">
        <v>221</v>
      </c>
      <c r="E211">
        <f>5*60+40</f>
        <v>340</v>
      </c>
    </row>
    <row r="212" spans="1:5" x14ac:dyDescent="0.3">
      <c r="A212">
        <v>7</v>
      </c>
      <c r="B212" t="s">
        <v>216</v>
      </c>
      <c r="C212" t="s">
        <v>143</v>
      </c>
      <c r="D212" t="s">
        <v>222</v>
      </c>
      <c r="E212">
        <f>3*60+30</f>
        <v>210</v>
      </c>
    </row>
    <row r="213" spans="1:5" x14ac:dyDescent="0.3">
      <c r="A213">
        <v>8</v>
      </c>
      <c r="B213" t="s">
        <v>216</v>
      </c>
      <c r="C213" t="s">
        <v>143</v>
      </c>
      <c r="D213" t="s">
        <v>223</v>
      </c>
      <c r="E213">
        <f>3*60+35</f>
        <v>215</v>
      </c>
    </row>
    <row r="214" spans="1:5" x14ac:dyDescent="0.3">
      <c r="A214">
        <v>9</v>
      </c>
      <c r="B214" t="s">
        <v>216</v>
      </c>
      <c r="C214" t="s">
        <v>143</v>
      </c>
      <c r="D214" t="s">
        <v>224</v>
      </c>
      <c r="E214">
        <f>4*60+14</f>
        <v>254</v>
      </c>
    </row>
    <row r="215" spans="1:5" x14ac:dyDescent="0.3">
      <c r="A215">
        <v>10</v>
      </c>
      <c r="B215" t="s">
        <v>216</v>
      </c>
      <c r="C215" t="s">
        <v>143</v>
      </c>
      <c r="D215" t="s">
        <v>225</v>
      </c>
      <c r="E215">
        <f>5*60+34</f>
        <v>334</v>
      </c>
    </row>
    <row r="216" spans="1:5" x14ac:dyDescent="0.3">
      <c r="A216">
        <v>11</v>
      </c>
      <c r="B216" t="s">
        <v>216</v>
      </c>
      <c r="C216" t="s">
        <v>143</v>
      </c>
      <c r="D216" t="s">
        <v>226</v>
      </c>
      <c r="E216">
        <f>2*60+36</f>
        <v>156</v>
      </c>
    </row>
    <row r="217" spans="1:5" x14ac:dyDescent="0.3">
      <c r="A217">
        <v>12</v>
      </c>
      <c r="B217" t="s">
        <v>216</v>
      </c>
      <c r="C217" t="s">
        <v>143</v>
      </c>
      <c r="D217" t="s">
        <v>227</v>
      </c>
      <c r="E217">
        <f>4*60+37</f>
        <v>277</v>
      </c>
    </row>
    <row r="218" spans="1:5" x14ac:dyDescent="0.3">
      <c r="A218">
        <v>13</v>
      </c>
      <c r="B218" t="s">
        <v>216</v>
      </c>
      <c r="C218" t="s">
        <v>143</v>
      </c>
      <c r="D218" t="s">
        <v>228</v>
      </c>
      <c r="E218">
        <f>3*60+38</f>
        <v>218</v>
      </c>
    </row>
    <row r="219" spans="1:5" x14ac:dyDescent="0.3">
      <c r="A219">
        <v>14</v>
      </c>
      <c r="B219" t="s">
        <v>216</v>
      </c>
      <c r="C219" t="s">
        <v>143</v>
      </c>
      <c r="D219" t="s">
        <v>229</v>
      </c>
      <c r="E219">
        <f>4*60+5</f>
        <v>245</v>
      </c>
    </row>
    <row r="220" spans="1:5" x14ac:dyDescent="0.3">
      <c r="A220">
        <v>15</v>
      </c>
      <c r="B220" t="s">
        <v>216</v>
      </c>
      <c r="C220" t="s">
        <v>143</v>
      </c>
      <c r="D220" t="s">
        <v>230</v>
      </c>
      <c r="E220">
        <f>3*60+16</f>
        <v>196</v>
      </c>
    </row>
    <row r="221" spans="1:5" x14ac:dyDescent="0.3">
      <c r="A221">
        <v>16</v>
      </c>
      <c r="B221" t="s">
        <v>216</v>
      </c>
      <c r="C221" t="s">
        <v>143</v>
      </c>
      <c r="D221" t="s">
        <v>231</v>
      </c>
      <c r="E221">
        <f>3*60+36</f>
        <v>216</v>
      </c>
    </row>
    <row r="222" spans="1:5" x14ac:dyDescent="0.3">
      <c r="A222">
        <v>17</v>
      </c>
      <c r="B222" t="s">
        <v>216</v>
      </c>
      <c r="C222" t="s">
        <v>143</v>
      </c>
      <c r="D222" t="s">
        <v>232</v>
      </c>
      <c r="E222">
        <f>3*60+58</f>
        <v>238</v>
      </c>
    </row>
    <row r="223" spans="1:5" x14ac:dyDescent="0.3">
      <c r="A223">
        <v>18</v>
      </c>
      <c r="B223" t="s">
        <v>216</v>
      </c>
      <c r="C223" t="s">
        <v>143</v>
      </c>
      <c r="D223" t="s">
        <v>233</v>
      </c>
      <c r="E223">
        <f>3*60+42</f>
        <v>222</v>
      </c>
    </row>
    <row r="224" spans="1:5" x14ac:dyDescent="0.3">
      <c r="A224">
        <v>19</v>
      </c>
      <c r="B224" t="s">
        <v>216</v>
      </c>
      <c r="C224" t="s">
        <v>143</v>
      </c>
      <c r="D224" t="s">
        <v>234</v>
      </c>
      <c r="E224">
        <f>3*60+3</f>
        <v>183</v>
      </c>
    </row>
    <row r="225" spans="1:5" x14ac:dyDescent="0.3">
      <c r="A225">
        <v>20</v>
      </c>
      <c r="B225" t="s">
        <v>216</v>
      </c>
      <c r="C225" t="s">
        <v>143</v>
      </c>
      <c r="D225" t="s">
        <v>235</v>
      </c>
      <c r="E225">
        <f>3*60+33</f>
        <v>213</v>
      </c>
    </row>
    <row r="226" spans="1:5" x14ac:dyDescent="0.3">
      <c r="A226">
        <v>21</v>
      </c>
      <c r="B226" t="s">
        <v>216</v>
      </c>
      <c r="C226" t="s">
        <v>143</v>
      </c>
      <c r="D226" t="s">
        <v>236</v>
      </c>
      <c r="E226">
        <f>3*60+58</f>
        <v>238</v>
      </c>
    </row>
    <row r="227" spans="1:5" x14ac:dyDescent="0.3">
      <c r="A227">
        <v>22</v>
      </c>
      <c r="B227" t="s">
        <v>216</v>
      </c>
      <c r="C227" t="s">
        <v>143</v>
      </c>
      <c r="D227" t="s">
        <v>237</v>
      </c>
      <c r="E227">
        <f>3*60+48</f>
        <v>228</v>
      </c>
    </row>
    <row r="228" spans="1:5" x14ac:dyDescent="0.3">
      <c r="A228">
        <v>23</v>
      </c>
      <c r="B228" t="s">
        <v>216</v>
      </c>
      <c r="C228" t="s">
        <v>143</v>
      </c>
      <c r="D228" t="s">
        <v>238</v>
      </c>
      <c r="E228">
        <f>4*60+3</f>
        <v>243</v>
      </c>
    </row>
    <row r="229" spans="1:5" x14ac:dyDescent="0.3">
      <c r="A229">
        <v>24</v>
      </c>
      <c r="B229" t="s">
        <v>216</v>
      </c>
      <c r="C229" t="s">
        <v>143</v>
      </c>
      <c r="D229" t="s">
        <v>239</v>
      </c>
      <c r="E229">
        <f>4*60+23</f>
        <v>263</v>
      </c>
    </row>
    <row r="230" spans="1:5" x14ac:dyDescent="0.3">
      <c r="A230">
        <v>25</v>
      </c>
      <c r="B230" t="s">
        <v>216</v>
      </c>
      <c r="C230" t="s">
        <v>143</v>
      </c>
      <c r="D230" t="s">
        <v>240</v>
      </c>
      <c r="E230">
        <f>2*60+11</f>
        <v>131</v>
      </c>
    </row>
    <row r="231" spans="1:5" x14ac:dyDescent="0.3">
      <c r="A231">
        <v>26</v>
      </c>
      <c r="B231" t="s">
        <v>216</v>
      </c>
      <c r="C231" t="s">
        <v>143</v>
      </c>
      <c r="D231" t="s">
        <v>241</v>
      </c>
      <c r="E231">
        <f>4*60+9</f>
        <v>249</v>
      </c>
    </row>
    <row r="232" spans="1:5" x14ac:dyDescent="0.3">
      <c r="A232">
        <v>27</v>
      </c>
      <c r="B232" t="s">
        <v>216</v>
      </c>
      <c r="C232" t="s">
        <v>143</v>
      </c>
      <c r="D232" t="s">
        <v>242</v>
      </c>
      <c r="E232">
        <f>4*60</f>
        <v>240</v>
      </c>
    </row>
    <row r="233" spans="1:5" x14ac:dyDescent="0.3">
      <c r="A233">
        <v>28</v>
      </c>
      <c r="B233" t="s">
        <v>216</v>
      </c>
      <c r="C233" t="s">
        <v>143</v>
      </c>
      <c r="D233" t="s">
        <v>243</v>
      </c>
      <c r="E233">
        <f>4*60+43</f>
        <v>283</v>
      </c>
    </row>
    <row r="234" spans="1:5" x14ac:dyDescent="0.3">
      <c r="A234">
        <v>29</v>
      </c>
      <c r="B234" t="s">
        <v>216</v>
      </c>
      <c r="C234" t="s">
        <v>143</v>
      </c>
      <c r="D234" t="s">
        <v>244</v>
      </c>
      <c r="E234">
        <f>3*60+58</f>
        <v>238</v>
      </c>
    </row>
    <row r="235" spans="1:5" x14ac:dyDescent="0.3">
      <c r="A235">
        <v>30</v>
      </c>
      <c r="B235" t="s">
        <v>216</v>
      </c>
      <c r="C235" t="s">
        <v>143</v>
      </c>
      <c r="D235" t="s">
        <v>245</v>
      </c>
      <c r="E235">
        <f>4*60</f>
        <v>240</v>
      </c>
    </row>
    <row r="236" spans="1:5" x14ac:dyDescent="0.3">
      <c r="A236">
        <v>31</v>
      </c>
      <c r="B236" t="s">
        <v>216</v>
      </c>
      <c r="C236" t="s">
        <v>143</v>
      </c>
      <c r="D236" t="s">
        <v>246</v>
      </c>
      <c r="E236">
        <f>3*60+44</f>
        <v>224</v>
      </c>
    </row>
    <row r="237" spans="1:5" x14ac:dyDescent="0.3">
      <c r="A237">
        <v>1</v>
      </c>
      <c r="B237" t="s">
        <v>247</v>
      </c>
      <c r="C237" t="s">
        <v>143</v>
      </c>
      <c r="D237" t="s">
        <v>248</v>
      </c>
      <c r="E237">
        <f>3*60+46</f>
        <v>226</v>
      </c>
    </row>
    <row r="238" spans="1:5" x14ac:dyDescent="0.3">
      <c r="A238">
        <v>2</v>
      </c>
      <c r="B238" t="s">
        <v>247</v>
      </c>
      <c r="C238" t="s">
        <v>143</v>
      </c>
      <c r="D238" t="s">
        <v>249</v>
      </c>
      <c r="E238">
        <f>3*60+28</f>
        <v>208</v>
      </c>
    </row>
    <row r="239" spans="1:5" x14ac:dyDescent="0.3">
      <c r="A239">
        <v>3</v>
      </c>
      <c r="B239" t="s">
        <v>247</v>
      </c>
      <c r="C239" t="s">
        <v>143</v>
      </c>
      <c r="D239" t="s">
        <v>250</v>
      </c>
      <c r="E239">
        <f>3*60+55</f>
        <v>235</v>
      </c>
    </row>
    <row r="240" spans="1:5" x14ac:dyDescent="0.3">
      <c r="A240">
        <v>4</v>
      </c>
      <c r="B240" t="s">
        <v>247</v>
      </c>
      <c r="C240" t="s">
        <v>143</v>
      </c>
      <c r="D240" t="s">
        <v>251</v>
      </c>
      <c r="E240">
        <f>3*60+32</f>
        <v>212</v>
      </c>
    </row>
    <row r="241" spans="1:5" x14ac:dyDescent="0.3">
      <c r="A241">
        <v>5</v>
      </c>
      <c r="B241" t="s">
        <v>247</v>
      </c>
      <c r="C241" t="s">
        <v>143</v>
      </c>
      <c r="D241" t="s">
        <v>252</v>
      </c>
      <c r="E241">
        <f>4*60+6</f>
        <v>246</v>
      </c>
    </row>
    <row r="242" spans="1:5" x14ac:dyDescent="0.3">
      <c r="A242">
        <v>6</v>
      </c>
      <c r="B242" t="s">
        <v>247</v>
      </c>
      <c r="C242" t="s">
        <v>143</v>
      </c>
      <c r="D242" t="s">
        <v>253</v>
      </c>
      <c r="E242">
        <f>3*60+40</f>
        <v>220</v>
      </c>
    </row>
    <row r="243" spans="1:5" x14ac:dyDescent="0.3">
      <c r="A243">
        <v>7</v>
      </c>
      <c r="B243" t="s">
        <v>247</v>
      </c>
      <c r="C243" t="s">
        <v>143</v>
      </c>
      <c r="D243" t="s">
        <v>254</v>
      </c>
      <c r="E243">
        <f>2*60+43</f>
        <v>163</v>
      </c>
    </row>
    <row r="244" spans="1:5" x14ac:dyDescent="0.3">
      <c r="A244">
        <v>8</v>
      </c>
      <c r="B244" t="s">
        <v>247</v>
      </c>
      <c r="C244" t="s">
        <v>143</v>
      </c>
      <c r="D244" t="s">
        <v>255</v>
      </c>
      <c r="E244">
        <f>3*60+27</f>
        <v>207</v>
      </c>
    </row>
    <row r="245" spans="1:5" x14ac:dyDescent="0.3">
      <c r="A245">
        <v>9</v>
      </c>
      <c r="B245" t="s">
        <v>247</v>
      </c>
      <c r="C245" t="s">
        <v>143</v>
      </c>
      <c r="D245" t="s">
        <v>256</v>
      </c>
      <c r="E245">
        <f>2*60+30</f>
        <v>150</v>
      </c>
    </row>
    <row r="246" spans="1:5" x14ac:dyDescent="0.3">
      <c r="A246">
        <v>10</v>
      </c>
      <c r="B246" t="s">
        <v>247</v>
      </c>
      <c r="C246" t="s">
        <v>143</v>
      </c>
      <c r="D246" t="s">
        <v>257</v>
      </c>
      <c r="E246">
        <f>3*60+31</f>
        <v>211</v>
      </c>
    </row>
    <row r="247" spans="1:5" x14ac:dyDescent="0.3">
      <c r="A247">
        <v>11</v>
      </c>
      <c r="B247" t="s">
        <v>247</v>
      </c>
      <c r="C247" t="s">
        <v>143</v>
      </c>
      <c r="D247" t="s">
        <v>258</v>
      </c>
      <c r="E247">
        <f>3*60+1</f>
        <v>181</v>
      </c>
    </row>
    <row r="248" spans="1:5" x14ac:dyDescent="0.3">
      <c r="A248">
        <v>12</v>
      </c>
      <c r="B248" t="s">
        <v>247</v>
      </c>
      <c r="C248" t="s">
        <v>143</v>
      </c>
      <c r="D248" t="s">
        <v>259</v>
      </c>
      <c r="E248">
        <f>4*60+1</f>
        <v>241</v>
      </c>
    </row>
    <row r="249" spans="1:5" x14ac:dyDescent="0.3">
      <c r="A249">
        <v>13</v>
      </c>
      <c r="B249" t="s">
        <v>247</v>
      </c>
      <c r="C249" t="s">
        <v>143</v>
      </c>
      <c r="D249" t="s">
        <v>260</v>
      </c>
      <c r="E249">
        <f>3*60+45</f>
        <v>225</v>
      </c>
    </row>
    <row r="250" spans="1:5" x14ac:dyDescent="0.3">
      <c r="A250">
        <v>14</v>
      </c>
      <c r="B250" t="s">
        <v>247</v>
      </c>
      <c r="C250" t="s">
        <v>143</v>
      </c>
      <c r="D250" t="s">
        <v>261</v>
      </c>
      <c r="E250">
        <f>3*60+26</f>
        <v>206</v>
      </c>
    </row>
    <row r="251" spans="1:5" x14ac:dyDescent="0.3">
      <c r="A251">
        <v>15</v>
      </c>
      <c r="B251" t="s">
        <v>247</v>
      </c>
      <c r="C251" t="s">
        <v>143</v>
      </c>
      <c r="D251" t="s">
        <v>262</v>
      </c>
      <c r="E251">
        <f>3*60+10</f>
        <v>190</v>
      </c>
    </row>
    <row r="252" spans="1:5" x14ac:dyDescent="0.3">
      <c r="A252">
        <v>16</v>
      </c>
      <c r="B252" t="s">
        <v>247</v>
      </c>
      <c r="C252" t="s">
        <v>143</v>
      </c>
      <c r="D252" t="s">
        <v>263</v>
      </c>
      <c r="E252">
        <f>3*60+39</f>
        <v>219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genius_data</vt:lpstr>
      <vt:lpstr>genius_data!taylor_swift_genius_data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Zhao</dc:creator>
  <cp:lastModifiedBy>Ashley Bravo</cp:lastModifiedBy>
  <dcterms:created xsi:type="dcterms:W3CDTF">2023-02-28T03:01:17Z</dcterms:created>
  <dcterms:modified xsi:type="dcterms:W3CDTF">2026-09-26T18:56:43Z</dcterms:modified>
</cp:coreProperties>
</file>